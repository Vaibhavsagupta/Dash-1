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66925"/>
  <mc:AlternateContent xmlns:mc="http://schemas.openxmlformats.org/markup-compatibility/2006">
    <mc:Choice Requires="x15">
      <x15ac:absPath xmlns:x15ac="http://schemas.microsoft.com/office/spreadsheetml/2010/11/ac" url="C:\Users\vansh\Downloads\Student data\"/>
    </mc:Choice>
  </mc:AlternateContent>
  <xr:revisionPtr revIDLastSave="0" documentId="13_ncr:9_{95E218B6-5A4F-4ADB-B67F-8D69091AD8F1}" xr6:coauthVersionLast="47" xr6:coauthVersionMax="47" xr10:uidLastSave="{00000000-0000-0000-0000-000000000000}"/>
  <bookViews>
    <workbookView xWindow="-108" yWindow="-108" windowWidth="23256" windowHeight="12456" xr2:uid="{83C9B14A-0BE9-4336-859C-8F76F7D39490}"/>
  </bookViews>
  <sheets>
    <sheet name="rag analysis" sheetId="1" r:id="rId1"/>
  </sheets>
  <definedNames>
    <definedName name="_xlnm._FilterDatabase" localSheetId="0" hidden="1">'rag analysis'!$A$1:$S$53</definedName>
  </definedNames>
  <calcPr calcId="0"/>
</workbook>
</file>

<file path=xl/calcChain.xml><?xml version="1.0" encoding="utf-8"?>
<calcChain xmlns="http://schemas.openxmlformats.org/spreadsheetml/2006/main">
  <c r="R51" i="1" l="1"/>
  <c r="R53" i="1" s="1"/>
  <c r="R50" i="1"/>
  <c r="R49" i="1"/>
  <c r="R48" i="1"/>
  <c r="R52" i="1" l="1"/>
  <c r="R54" i="1"/>
</calcChain>
</file>

<file path=xl/sharedStrings.xml><?xml version="1.0" encoding="utf-8"?>
<sst xmlns="http://schemas.openxmlformats.org/spreadsheetml/2006/main" count="833" uniqueCount="527">
  <si>
    <t>S.No.</t>
  </si>
  <si>
    <t xml:space="preserve">Name </t>
  </si>
  <si>
    <t>July 28 - Aug 2</t>
  </si>
  <si>
    <t>Aug 3- Aug 10</t>
  </si>
  <si>
    <t>Aug 11-Aug 17</t>
  </si>
  <si>
    <t>Aug 18-Aug  24</t>
  </si>
  <si>
    <t>Aug 25-Aug  31</t>
  </si>
  <si>
    <t>Final RAG</t>
  </si>
  <si>
    <t> </t>
  </si>
  <si>
    <t>Counselling Feedback</t>
  </si>
  <si>
    <t>Area of Strengths</t>
  </si>
  <si>
    <t>Area of Improvements</t>
  </si>
  <si>
    <t>Abhay Pratap Singh</t>
  </si>
  <si>
    <t>The student is focused, disciplined, and regular in class. He has shown active participation in all academic as well as co-curricular activities. His career aspiration is to become a Software Developer and work with reputed organizations such as TCS, HCL, and Infosys. With consistent effort, regular practice, and continued dedication, he is expected to achieve his professional goals successfully.</t>
  </si>
  <si>
    <t>Achieves high accuracy in mathematical computations, showcases strong oral calculations, and remains highly attentive during lessons.</t>
  </si>
  <si>
    <t>Augment logical reasoning with advanced practice, accelerate problem-solving speed, and strengthen strategies to manage time-sensitive tests.</t>
  </si>
  <si>
    <t>Consistently demonstrates precision in mathematical calculations and exhibits strong focus during problem-solving sessions.</t>
  </si>
  <si>
    <t>Needs to build greater speed in logic application and stay focused on time-bound activities.</t>
  </si>
  <si>
    <t>Shows consistency in oral drills, applies quant tricks accurately, and remains highly attentive.</t>
  </si>
  <si>
    <t>Should strengthen logical reasoning under time pressure and attempt more mixed problem sets.</t>
  </si>
  <si>
    <t>Improved accuracy in quant drills, shows confidence in oral answers, and applies shortcuts smoothly.</t>
  </si>
  <si>
    <t>Should attempt more DI-based reasoning and practice under strict time limits.</t>
  </si>
  <si>
    <t>Shows mastery in applying arithmetic shortcuts, demonstrates higher confidence in DI sets, and answers orally with speed.</t>
  </si>
  <si>
    <t>Needs to refine accuracy in reasoning puzzles and avoid minor calculation slips in mocks.</t>
  </si>
  <si>
    <t>Red</t>
  </si>
  <si>
    <t xml:space="preserve">Abhishek Jain </t>
  </si>
  <si>
    <t>The student aspires to build his career as a Software Developer and aims to work with leading organizations such as TCS, Wipro, Infosys, HCL, IBM, and Deloitte. He is regular in classes and participates actively in all academic and co-curricular activities. He demonstrates sincerity and focus towards his goals. However, he needs to improve his communication skills, and with consistent practice in this area, he has the potential to excel in his chosen career path.</t>
  </si>
  <si>
    <t>Applies arithmetic shortcuts efficiently, displays consistent excellence in reasoning, and actively contributes to class discussions.</t>
  </si>
  <si>
    <t>Advance data interpretation accuracy, address minor calculation lapses, and cultivate faster decision-making under exam pressure.</t>
  </si>
  <si>
    <t>Effectively applies shortcut techniques and maintains high levels of participation during concept revisions.</t>
  </si>
  <si>
    <t>Should avoid minor miscalculations and focus on increasing efficiency in data interpretation.</t>
  </si>
  <si>
    <t>Maintains sharpness in reasoning, applies arithmetic shortcuts effectively, and engages well in group work.</t>
  </si>
  <si>
    <t>Needs to refine DI accuracy further and minimize calculation slips in lengthy problems.</t>
  </si>
  <si>
    <t>Shows better balance in reasoning and quant, and demonstrates leadership in group tasks.</t>
  </si>
  <si>
    <t>Needs to fine-tune speed in lengthy arithmetic sections and review past errors systematically.</t>
  </si>
  <si>
    <t>Strong in team-based reasoning, explains solutions clearly, and balances quant and reasoning well.</t>
  </si>
  <si>
    <t>Should practice advanced DI regularly and strengthen accuracy under time pressure.</t>
  </si>
  <si>
    <t xml:space="preserve">Abhishek Rajput </t>
  </si>
  <si>
    <t>The student aspires to pursue a career as a Data Scientist and aims to work with reputed organizations such as Fractal Analytics, Genpact, LatentView Analytics, TCS, Accenture, and Wipro. He is focused, disciplined, and consistent in his learning approach. His key strength is that he remains calm under pressure, which enables him to handle challenging situations effectively. With continued effort and skill enhancement, he has the potential to achieve his professional goals.</t>
  </si>
  <si>
    <t>Adapts quickly to new topics, engages regularly in classes, and demonstrates an excellent grasp of oral calculations.</t>
  </si>
  <si>
    <t>Amplify conceptual understanding in weaker areas, improve logical reasoning frameworks, and practice extensively beyond classroom exercises.</t>
  </si>
  <si>
    <t>Quick to grasp new methods and contributes meaningfully to classroom discussions and oral drills.</t>
  </si>
  <si>
    <t>Encouraged to attempt more challenging tasks independently and strengthen retention through review.</t>
  </si>
  <si>
    <t>Grasps advanced concepts quickly, contributes thoughtfully in class, and remains composed in challenges.</t>
  </si>
  <si>
    <t>Should attempt more advanced reasoning puzzles and strengthen application speed.</t>
  </si>
  <si>
    <t>Handles puzzles with creativity, maintains strong conceptual clarity, and adapts to new patterns well.</t>
  </si>
  <si>
    <t>Should increase timed practice and work on multi-layered DI sets.</t>
  </si>
  <si>
    <t>Applies logical reasoning with depth, adapts to challenging puzzles, and demonstrates quick mental calculations.</t>
  </si>
  <si>
    <t>Needs to reduce hesitation in oral quant and focus on improving speed in word problems.</t>
  </si>
  <si>
    <t>Amber</t>
  </si>
  <si>
    <t>Ajeet Singh</t>
  </si>
  <si>
    <t xml:space="preserve">He is a BCA student want to becom software </t>
  </si>
  <si>
    <t>Approaches problems with a disciplined mindset, maintains punctuality, and contributes actively to collaborative learning sessions.</t>
  </si>
  <si>
    <t>Accelerate oral calculation pace, adopt innovative reasoning methods, and focus on consistent accuracy in complex questions.</t>
  </si>
  <si>
    <t>Maintains discipline in group settings, displays clarity of concepts, and contributes to peer learning activities.</t>
  </si>
  <si>
    <t>Should increase speed in oral reasoning and practice multi-step logic patterns.</t>
  </si>
  <si>
    <t>Displays discipline in attendance, shows clarity in concepts, and adapts to new patterns quickly.</t>
  </si>
  <si>
    <t>Needs to increase calculation pace and practice layered reasoning questions.</t>
  </si>
  <si>
    <t>More disciplined in homework completion, applies formulas quickly, and shows consistency in revisions.</t>
  </si>
  <si>
    <t>Needs to focus on accuracy when solving high-pressure mocks.</t>
  </si>
  <si>
    <t>Shows consistent accuracy in arithmetic, applies formulas smoothly, and improves in test discipline.</t>
  </si>
  <si>
    <t>Should work more on DI sets and reduce time spent on lengthy reasoning puzzles.</t>
  </si>
  <si>
    <t xml:space="preserve">Akanksha Bhadouria </t>
  </si>
  <si>
    <t>She is a Btech CS  student want to become data analyst/cyber security</t>
  </si>
  <si>
    <t>Analyzes reasoning problems effectively, attends classes with dedication, and exhibits a positive approach to learning challenges.</t>
  </si>
  <si>
    <t>Address gaps in basic mathematical knowledge, boost oral calculation reliability, and reinforce fundamentals for advanced topics.</t>
  </si>
  <si>
    <t>Attends class with dedication, shows persistence in challenging tasks, and remains focused during practice drills.</t>
  </si>
  <si>
    <t>Needs to review foundational math concepts and increase oral speed during live exercises.</t>
  </si>
  <si>
    <t>Demonstrates persistence in quant practice, responds well to feedback, and stays focused during sessions.</t>
  </si>
  <si>
    <t>Should revise fundamentals regularly and increase speed in oral calculations.</t>
  </si>
  <si>
    <t>Shows confidence in oral reasoning, demonstrates steady progress in quant, and participates actively.</t>
  </si>
  <si>
    <t>Should strengthen DI interpretation and attempt mock papers more frequently.</t>
  </si>
  <si>
    <t>More confident in reasoning discussions, applies quant methods effectively, and stays engaged in practice.</t>
  </si>
  <si>
    <t>Needs to improve in DI interpretation and avoid second-guessing in oral answers.</t>
  </si>
  <si>
    <t>Anam Ahmad</t>
  </si>
  <si>
    <t>She is a B.Tech Computer Science student with career aspirations in the fields of Data Analytics, UI/UX Design, and Full Stack Development. She is particularly interested in opportunities with leading organizations such as Accenture, Tech Mahindra, Wipro, Capgemini, and Cognizant, where she can apply her technical skills and creativity.
She is continuously enhancing her expertise in data-driven decision making, front-end and back-end technologies, and user-centered design principles. With a commitment to learning and adaptability, she is preparing herself to contribute effectively in dynamic IT environments and grow into a versatile professional.</t>
  </si>
  <si>
    <t>Absorbs new mathematical techniques quickly, demonstrates clear fundamentals, and participates attentively in interactive sessions.</t>
  </si>
  <si>
    <t>Adopt more proactive participation during class activities, attempt timed mock tests to simulate real scenarios, and enhance problem-solving stamina.</t>
  </si>
  <si>
    <t>Actively engages in class and quickly absorbs new techniques presented in aptitude sessions.</t>
  </si>
  <si>
    <t>Should work on increasing classroom participation and handling time-bound challenges with calm.</t>
  </si>
  <si>
    <t>Engages actively with practice problems, applies concepts quickly, and demonstrates solid fundamentals.</t>
  </si>
  <si>
    <t>Needs to simulate exam settings with timed practice and build stamina in long sessions.</t>
  </si>
  <si>
    <t>Applies concepts effectively across topics, demonstrates focus in class, and learns from mistakes.</t>
  </si>
  <si>
    <t>Needs to push calculation speed and improve stamina for back-to-back tests.</t>
  </si>
  <si>
    <t>Applies reasoning techniques with clarity, adapts quickly to feedback, and shows consistent practice.</t>
  </si>
  <si>
    <t>Should strengthen calculation speed further and focus more on accuracy during mocks.</t>
  </si>
  <si>
    <t>Ankit Singh Rajawat</t>
  </si>
  <si>
    <t>He is a B.Tech Computer Science student with aspirations to begin his career with a simple entry-level role in the IT sector, where he can gain practical exposure and industry experience. In the long term, he aims to pursue M.Tech from a premier institute such as IIT or NIT to strengthen his academic and technical foundation.
Currently, he is working on improving his quantitative aptitude, communication skills, and ability to handle pressure, which he considers areas for growth. With dedication, consistent learning, and guided practice, he is committed to developing the professional skills required to achieve his career ambitions.</t>
  </si>
  <si>
    <t>Acts with discipline in learning, participates actively, and completes assigned tasks with thorough precision.</t>
  </si>
  <si>
    <t>Accelerate oral calculation speed, advance logical reasoning tactics, and develop strategic thinking for multi-step problem-solving.</t>
  </si>
  <si>
    <t>Shows structured approach in solving problems and revisits difficult questions independently.</t>
  </si>
  <si>
    <t>Needs to increase efficiency in verbal reasoning and minimize avoidable errors.</t>
  </si>
  <si>
    <t>Solves problems with a systematic approach, reviews errors independently, and maintains discipline.</t>
  </si>
  <si>
    <t>Should improve efficiency in reasoning and reduce hesitation in quick-answer situations.</t>
  </si>
  <si>
    <t>Improves logical puzzle solving, works independently on weak areas, and shows calmness under pressure.</t>
  </si>
  <si>
    <t>Should practice rapid fire oral math and refine DI table interpretation.</t>
  </si>
  <si>
    <t>Shows resilience in solving complex puzzles, applies logic consistently, and stays composed in practice.</t>
  </si>
  <si>
    <t>Needs to attempt more DI-based sets and reduce overthinking in reasoning.</t>
  </si>
  <si>
    <t xml:space="preserve">Anuj Gupta </t>
  </si>
  <si>
    <t>Approaches reasoning questions logically, maintains perfect attendance, and consistently applies effort in classroom activities.</t>
  </si>
  <si>
    <t>Amplify oral calculation proficiency, strengthen understanding of core mathematical principles, and minimize avoidable mistakes in computations.</t>
  </si>
  <si>
    <t>Applies logic effectively and regularly completes assignments with accuracy.</t>
  </si>
  <si>
    <t>Should focus on strengthening weak areas and increasing consistency in speed.</t>
  </si>
  <si>
    <t>Maintains strong attendance, applies logical steps consistently, and completes class tasks diligently.</t>
  </si>
  <si>
    <t>Should focus on speeding up calculations and addressing weaker quantitative topics.</t>
  </si>
  <si>
    <t>Accuracy has improved in reasoning sets, maintains consistency in attendance, and shows disciplined practice.</t>
  </si>
  <si>
    <t>Needs to work on speed of execution and confidence during oral drills.</t>
  </si>
  <si>
    <t>Accuracy in reasoning has improved, applies structured steps in problem solving, and shows determination.</t>
  </si>
  <si>
    <t>Should work on arithmetic speed and avoid skipping DI practice.</t>
  </si>
  <si>
    <t xml:space="preserve">Anurag Rana </t>
  </si>
  <si>
    <t>He is a B.Tech Computer Science student with a strong interest in Data Analytics, Application Development, and Front-End Development. His career goal is to secure an opportunity with leading organizations such as Amdocs, TCS, Infosys, Wipro, or Accenture, where he can apply his technical knowledge and problem-solving abilities.
While his technical skills are developing, he sometimes faces challenges in quantitative calculations, reasoning, and applied mathematics. To overcome this, he is consistently working on enhancing his analytical thinking, numerical aptitude, and logical reasoning through structured practice and guided training.
He is motivated, adaptable, and eager to learn, with a focus on improving both his core programming expertise and his aptitude skills to meet industry standards.</t>
  </si>
  <si>
    <t>Analyzes patterns effectively, demonstrates curiosity in problem-solving, and stays engaged during interactive sessions.</t>
  </si>
  <si>
    <t>Avoid oversight in simple questions, improve attention to details during practice, and increase oral calculation speed.</t>
  </si>
  <si>
    <t>Displays good conceptual clarity and consistent effort in class activities.</t>
  </si>
  <si>
    <t>Needs to improve focus during longer sessions and enhance multi-tasking during tests.</t>
  </si>
  <si>
    <t>Shows curiosity in tackling new questions, maintains good conceptual clarity, and stays motivated.</t>
  </si>
  <si>
    <t>Must improve attention to detail in simple sums and work on multitasking in mocks.</t>
  </si>
  <si>
    <t>Demonstrates curiosity in advanced reasoning, engages well in discussions, and retains shortcuts effectively.</t>
  </si>
  <si>
    <t>Should avoid repeating small calculation mistakes and practice more time-bound quizzes.</t>
  </si>
  <si>
    <t>Sharp in applying shortcuts, demonstrates curiosity in new puzzle patterns, and participates actively.</t>
  </si>
  <si>
    <t>Needs to improve stamina in lengthy tests and focus on accuracy in DI tables.</t>
  </si>
  <si>
    <t xml:space="preserve">Anurag Singh Chauhan </t>
  </si>
  <si>
    <t>He is a B.Tech Computer Science student aspiring to build his career as a Software Engineer. His plan is to begin with a smaller organization, gain practical exposure, and gradually grow into opportunities with reputed companies such as Google, TCS, Wipro, and other leading IT firms.
He completed his basic education under the M.P. Board. At present, he is actively improving his quantitative aptitude and communication skills, which he identifies as areas of growth. With consistent practice, dedication, and a willingness to learn, he is steadily enhancing his professional readiness for the IT industry.</t>
  </si>
  <si>
    <t>Aligns well with group activities, shows strong communication, and participates actively in collaborative problem-solving exercises.</t>
  </si>
  <si>
    <t>Acquire stronger mathematical fundamentals, strengthen oral calculation habits, and refine logical reasoning for complex scenarios.</t>
  </si>
  <si>
    <t>Explains reasoning steps clearly and collaborates well with peers.</t>
  </si>
  <si>
    <t>Should work on oral calculation speed and deeper understanding of arithmetic tricks.</t>
  </si>
  <si>
    <t>Participates actively in group tasks, explains reasoning steps clearly, and engages in peer learning.</t>
  </si>
  <si>
    <t>Should strengthen oral calculation habits and practice arithmetic shortcuts daily.</t>
  </si>
  <si>
    <t>More active in peer discussions, demonstrates clear logic, and adapts to instructor feedback quickly.</t>
  </si>
  <si>
    <t>Needs to increase focus on quant basics and attempt mixed-topic practice sets.</t>
  </si>
  <si>
    <t>Shows better clarity in reasoning explanations, adapts well in peer learning, and improves focus.</t>
  </si>
  <si>
    <t>Should strengthen basics in quant and attempt diverse practice papers.</t>
  </si>
  <si>
    <t>Aryan singh chauhan</t>
  </si>
  <si>
    <t>He is an MCA student aspiring to build his career as a Full Stack Developer. His goal is to join reputed organizations such as Amdocs, TCS, Wipro, and Infosys, where he can apply his technical knowledge and expand his professional expertise.
He completed his basic education under the CBSE Board. As the son of a police officer, he has experienced frequent relocations, which have shaped his adaptability and resilience. While he acknowledges that his quantitative aptitude and calculation skills are areas for improvement, he is committed to working on them through consistent practice and guided learning. With strong determination and a promise to improve, he is preparing himself to meet industry standards and excel in his career path.</t>
  </si>
  <si>
    <t>Appreciates puzzles and deductive reasoning, engages positively in classroom activities, and learns concepts with enthusiasm.</t>
  </si>
  <si>
    <t>Address weaknesses in numerical aptitude, enhance confidence under timed conditions, and build strategies to tackle word problems efficiently.</t>
  </si>
  <si>
    <t>Highly enthusiastic in logical reasoning puzzles and shows curiosity in learning.</t>
  </si>
  <si>
    <t>Needs to work on data interpretation accuracy and increase speed under exam pressure.</t>
  </si>
  <si>
    <t>Enthusiastic in puzzles, shows adaptability in learning, and demonstrates strong reasoning interest.</t>
  </si>
  <si>
    <t>Needs to focus on numerical aptitude and increase confidence in timed quizzes.</t>
  </si>
  <si>
    <t>Shows high enthusiasm in puzzle solving, demonstrates improved accuracy, and adapts to feedback well.</t>
  </si>
  <si>
    <t>Should strengthen quant problem-solving and practice DI regularly.</t>
  </si>
  <si>
    <t>Strong enthusiasm in oral drills, demonstrates good accuracy, and applies reasoning actively.</t>
  </si>
  <si>
    <t>Needs to practice more timed mocks and reduce small slips in quant.</t>
  </si>
  <si>
    <t>Atul Kumar</t>
  </si>
  <si>
    <t>Adopts a balanced approach to aptitude, demonstrates good logical reasoning, and maintains consistent attendance with active engagement.</t>
  </si>
  <si>
    <t>Augment oral calculation accuracy, improve memory of squares and cubes, and increase speed for lengthy reasoning questions.</t>
  </si>
  <si>
    <t>Completes classwork consistently and shows steady improvement in logical topics.</t>
  </si>
  <si>
    <t>Should strengthen memory-based techniques like squares/cubes and reduce hesitation.</t>
  </si>
  <si>
    <t>Shows steady improvement in reasoning, maintains balanced performance, and engages consistently.</t>
  </si>
  <si>
    <t>Should enhance memory of numbers (squares, cubes) and improve speed in lengthy questions.</t>
  </si>
  <si>
    <t>Displays confidence in multi-step reasoning, adapts better to changing question styles, and learns quickly.</t>
  </si>
  <si>
    <t>Should improve memorization of quant formulas and apply them faster.</t>
  </si>
  <si>
    <t>Applies stepwise reasoning confidently, shows faster recall of formulas, and engages in peer problem solving.</t>
  </si>
  <si>
    <t>Should improve DI handling and practice large data-based questions.</t>
  </si>
  <si>
    <t>Ayush Garg</t>
  </si>
  <si>
    <t>He is a BCA student with academic qualification under the CBSE board. With a strong musical background, he aspires to build his career in the music industry, particularly in areas such as music mixing, sound design, and R&amp;D-related work.
He plays multiple musical instruments and has already released music on YouTube and other digital platforms. His creative interests lie in exploring fusion and innovative soundtracks.
In addition to his technical and musical abilities, he is multilingual, with proficiency in several languages including Japanese, Greek, and others, which adds to his versatility and opens opportunities for global collaborations.
His vision is to establish himself as a professional in the music industry by combining his technical knowledge, artistic talent, and cultural understanding.</t>
  </si>
  <si>
    <t>Absorbs new information rapidly, applies concepts effectively during practice, and displays excellent attention during sessions.</t>
  </si>
  <si>
    <t>Acquire stronger fundamentals in mathematics, focus on high-accuracy calculations, and improve confidence in solving varied problem types.</t>
  </si>
  <si>
    <t>Quick learner and adapts well to new problem-solving formats.</t>
  </si>
  <si>
    <t>Should engage more in classroom problem-solving and maintain consistency in revision.</t>
  </si>
  <si>
    <t>Learns quickly, adapts well to new problem formats, and applies concepts accurately in practice.</t>
  </si>
  <si>
    <t>Should strengthen fundamentals in mathematics and increase consistency in revisions.</t>
  </si>
  <si>
    <t>Applies concepts effectively in quant, learns faster in reasoning, and stays consistent in practice.</t>
  </si>
  <si>
    <t>Needs to build stronger revision habits and simulate exam environments more often.</t>
  </si>
  <si>
    <t>Improves accuracy in quant, shows curiosity in learning, and adapts to new methods quickly.</t>
  </si>
  <si>
    <t>Needs to build stronger revision discipline and practice complex reasoning sets.</t>
  </si>
  <si>
    <t xml:space="preserve">Bhavana Singh </t>
  </si>
  <si>
    <t>She is a B.Tech student aspiring to become a Software Engineer, with the goal of working in reputed organizations such as Infosys, HCL, TCS, and Wipro. She demonstrates strength in aptitude and reasoning skills, which provide her with a strong foundation for problem-solving and logical thinking.
Coming from a family where four members are also pursuing B.Tech from vikram and also part of simplying, she is inspired by a learning environment that values discipline and continuous skill development. While she identifies communication skills as an area for improvement, she is committed to working on it consistently and has already taken steps such as recording a 5-minute self-introduction video to practice regularly.
Her dedication to self-improvement, combined with her technical abilities, reflects her determination to grow into a capable professional.</t>
  </si>
  <si>
    <t>Approaches problem-solving with a calm demeanor, demonstrates solid basic calculation skills, and maintains good class participation.</t>
  </si>
  <si>
    <t>Advance logical reasoning practice, participate more actively in group activities, and strengthen collaborative problem-solving abilities.</t>
  </si>
  <si>
    <t>Participates with focus and applies reasoning rules effectively in exercises.</t>
  </si>
  <si>
    <t>Needs to build greater confidence in time-bound puzzles and collaborate more in group tasks.</t>
  </si>
  <si>
    <t>Applies reasoning rules correctly, stays attentive in group work, and participates with focus.</t>
  </si>
  <si>
    <t>Needs to build confidence in solving time-bound puzzles and verbal collaboration tasks.</t>
  </si>
  <si>
    <t>Better participation in group reasoning, applies clear logic, and stays consistent in oral drills.</t>
  </si>
  <si>
    <t>Should develop more confidence in timed problem solving and multi-step puzzles.</t>
  </si>
  <si>
    <t>Applies logical reasoning well, participates consistently, and improves oral response confidence.</t>
  </si>
  <si>
    <t>Should work on quant calculation speed and expand DI practice.</t>
  </si>
  <si>
    <t xml:space="preserve">Bhumika Rai </t>
  </si>
  <si>
    <t>She is a BCA student with a strong aspiration to become a software engineer. Her career plan begins with joining a small company to gain practical industry experience and enhance her technical expertise. With continuous learning and skill development, she aims to transition into leading global organizations such as Microsoft, Google, Samsung, TCS, and Wipro.
Alongside her professional journey, she is also committed to higher education and plans to pursue an MCA from a reputed institute to strengthen her academic and technical foundation. Her goal is to establish herself as a highly skilled and innovative professional in the field of software engineering.</t>
  </si>
  <si>
    <t>Acts diligently in assignments, practices consistently, and demonstrates sound oral calculation techniques.</t>
  </si>
  <si>
    <t>Acquire more confidence in abstract reasoning, strengthen basics in mathematics, and enhance participation in interactive class tasks.</t>
  </si>
  <si>
    <t>Demonstrates good attention to detail and avoids calculation mistakes.</t>
  </si>
  <si>
    <t>Should expand approach to abstract puzzles and increase application variety.</t>
  </si>
  <si>
    <t>Demonstrates accuracy in oral calculations, works consistently, and completes tasks on time.</t>
  </si>
  <si>
    <t>Should broaden practice in abstract reasoning and engage more actively in class challenges.</t>
  </si>
  <si>
    <t>Shows accuracy in calculations, maintains discipline, and applies techniques consistently.</t>
  </si>
  <si>
    <t>Needs to expand reasoning exposure and handle abstract puzzles with more confidence.</t>
  </si>
  <si>
    <t>Shows steady accuracy in calculations, maintains consistency, and adapts feedback constructively.</t>
  </si>
  <si>
    <t>Needs to strengthen reasoning exposure and avoid hesitation in advanced puzzles.</t>
  </si>
  <si>
    <t xml:space="preserve">Boby kanojiya </t>
  </si>
  <si>
    <t>Applies visual reasoning skills effectively, shows accuracy in arithmetic, and stays steady during classroom challenges.</t>
  </si>
  <si>
    <t>Advance time management in problem-solving, expand comprehension of complex reading sections, and diversify reasoning practice.</t>
  </si>
  <si>
    <t>Applies Vedic math techniques well and visualizes patterns with clarity.</t>
  </si>
  <si>
    <t>Needs to practice reasoning under time limits and expand exposure to verbal topics.</t>
  </si>
  <si>
    <t>Uses visual reasoning effectively, applies Vedic math tricks, and maintains clarity under pressure.</t>
  </si>
  <si>
    <t>Must practice reasoning under time limits and expand exposure to diverse topics.</t>
  </si>
  <si>
    <t>Uses quick methods effectively, improves puzzle solving, and maintains focus in high-pressure tasks.</t>
  </si>
  <si>
    <t>Should enhance time management and accuracy under mock exam pressure.</t>
  </si>
  <si>
    <t>Improves speed in quant, applies shortcuts effectively, and stays focused during practice.</t>
  </si>
  <si>
    <t>Should refine DI solving accuracy and attempt timed mixed-topic sets.</t>
  </si>
  <si>
    <t>Boby Sharma</t>
  </si>
  <si>
    <t>Adapts quickly to instructor feedback, exhibits progress week by week, and performs oral calculations with confidence.</t>
  </si>
  <si>
    <t>Address conceptual gaps in averages and percentages, enhance consistency in reasoning, and continue strengthening the mathematical foundation.</t>
  </si>
  <si>
    <t>Shows visible improvement week by week and applies feedback from class.</t>
  </si>
  <si>
    <t>Should fill conceptual gaps in arithmetic and engage more during peer activities.</t>
  </si>
  <si>
    <t>Shows visible weekly improvement, adapts quickly to feedback, and applies techniques confidently.</t>
  </si>
  <si>
    <t>Needs to strengthen arithmetic concepts and actively participate in peer activities.</t>
  </si>
  <si>
    <t>Adapts new techniques rapidly, shows noticeable growth in reasoning, and applies feedback constructively.</t>
  </si>
  <si>
    <t>Needs to strengthen quant basics and attempt diverse DI sets.</t>
  </si>
  <si>
    <t>Adapts quickly to new question patterns, demonstrates progress in reasoning, and accepts corrections well.</t>
  </si>
  <si>
    <t>Needs to expand quant basics and maintain regular DI practice.</t>
  </si>
  <si>
    <t xml:space="preserve">Chandraprakash Rajput </t>
  </si>
  <si>
    <t>Analyzes structured problems effectively, demonstrates strong analytical thinking, and applies logic in a step-by-step manner.</t>
  </si>
  <si>
    <t>Advance attendance consistency, improve verbal reasoning abilities, and complete note-taking for better retention and performance.</t>
  </si>
  <si>
    <t>Thinks logically and follows systematic steps while solving questions.</t>
  </si>
  <si>
    <t>Should build confidence in verbal logic and refine multi-layered reasoning strategies.</t>
  </si>
  <si>
    <t>Follows step-by-step logic in solving, maintains strong analytical approach, and stays disciplined.</t>
  </si>
  <si>
    <t>Should focus on improving verbal reasoning and practice multi-step logic puzzles.</t>
  </si>
  <si>
    <t>Applies logic step-by-step, shows clarity in explanations, and participates actively.</t>
  </si>
  <si>
    <t>Should work on abstract reasoning and practice verbal logic questions more regularly.</t>
  </si>
  <si>
    <t>Shows confidence in step-by-step reasoning, applies logic clearly, and participates more actively.</t>
  </si>
  <si>
    <t>Should improve abstract reasoning and balance quant and DI practice.</t>
  </si>
  <si>
    <t xml:space="preserve">Dev likhar </t>
  </si>
  <si>
    <t>Appreciates pattern recognition, participates energetically in activities, and displays sharp observational skills.</t>
  </si>
  <si>
    <t>Avoid careless mistakes by improving concentration, deepen logical reasoning practice, and strengthen spatial reasoning fundamentals.</t>
  </si>
  <si>
    <t>Spots patterns quickly and shows alertness during classroom drills.</t>
  </si>
  <si>
    <t>Must work on avoiding silly mistakes and strengthening spatial and abstract logic.</t>
  </si>
  <si>
    <t>Spots patterns quickly, shows strong observation skills, and participates energetically in class.</t>
  </si>
  <si>
    <t>Must avoid silly mistakes and strengthen spatial reasoning accuracy.</t>
  </si>
  <si>
    <t>Quick in spotting number patterns, shows sharper observation, and demonstrates growing confidence.</t>
  </si>
  <si>
    <t>Needs to avoid rushing in multi-step questions and refine DI accuracy.</t>
  </si>
  <si>
    <t>Quick in number series and patterns, demonstrates sharper reasoning skills, and applies observations effectively.</t>
  </si>
  <si>
    <t>Needs to reduce errors in multi-step DI and manage time better.</t>
  </si>
  <si>
    <t xml:space="preserve">Gaurav Sharma </t>
  </si>
  <si>
    <t>Applies algebraic and arithmetic concepts accurately, integrates logic in problem-solving, and shows strong fundamentals.</t>
  </si>
  <si>
    <t>Advance verbal reasoning, particularly inference-based sections, and enhance time management to improve exam efficiency.</t>
  </si>
  <si>
    <t>Uses algebra and quant tricks effectively and stays focused in class.</t>
  </si>
  <si>
    <t>Should manage time better in verbal reasoning and work on structured revision.</t>
  </si>
  <si>
    <t>Applies algebra and arithmetic methods efficiently, integrates logic well, and stays focused.</t>
  </si>
  <si>
    <t>Needs to manage time better in verbal reasoning and refine structured revision plans.</t>
  </si>
  <si>
    <t>Applies quant and reasoning balance effectively, shows consistent improvement, and works diligently.</t>
  </si>
  <si>
    <t>Should practice more on lengthy reasoning sets and improve accuracy in cube/dice puzzles.</t>
  </si>
  <si>
    <t>Applies quant skills smoothly, shows balance in reasoning, and maintains discipline in practice.</t>
  </si>
  <si>
    <t>Should strengthen DI speed and attempt larger puzzle sets.</t>
  </si>
  <si>
    <t xml:space="preserve">Gunika Niranjan </t>
  </si>
  <si>
    <t>Analyzes sequencing tasks with precision, demonstrates strong deductive reasoning, and learns patterns quickly.</t>
  </si>
  <si>
    <t>Address confidence issues in presenting reasoning solutions, strengthen multi-step problem-solving, and practice complex logical questions regularly.</t>
  </si>
  <si>
    <t>Consistently performs well in pattern recognition and sequence-based questions.</t>
  </si>
  <si>
    <t>Should work on solving lengthy puzzles and manage time more efficiently.</t>
  </si>
  <si>
    <t>Performs well in sequencing and patterns, maintains logical clarity, and adapts quickly.</t>
  </si>
  <si>
    <t>Should attempt lengthy puzzles and work on time efficiency in reasoning sets.</t>
  </si>
  <si>
    <t>Shows maturity in reasoning sequences, adapts to difficult puzzles, and demonstrates quick learning.</t>
  </si>
  <si>
    <t>Needs to improve quant speed and manage time better in DI problem sets.</t>
  </si>
  <si>
    <t>Shows strong grasp of reasoning sequences, adapts well to challenges, and demonstrates quick thinking.</t>
  </si>
  <si>
    <t>Needs to focus on arithmetic calculations and DI-based accuracy.</t>
  </si>
  <si>
    <t>Legends</t>
  </si>
  <si>
    <t xml:space="preserve">Harsh Dhakrey </t>
  </si>
  <si>
    <t>Applies numerical aptitude effectively, shows strength in profit &amp; loss calculations, and performs surface problem tasks with accuracy.</t>
  </si>
  <si>
    <t>Advance verbal reasoning practice, focus on reverse logic for cube and dice problems, and refine comprehension speed.</t>
  </si>
  <si>
    <t>Strong in visual reasoning and surface-based logic application.</t>
  </si>
  <si>
    <t>Needs to strengthen verbal logic and diversify problem-solving strategy.</t>
  </si>
  <si>
    <t>Strong in numerical applications, performs surface reasoning well, and applies visual logic accurately.</t>
  </si>
  <si>
    <t>Needs to improve verbal reasoning and practice cube/dice logic variations.</t>
  </si>
  <si>
    <t>Handles numerical logic well, applies shortcuts efficiently, and participates actively in group work.</t>
  </si>
  <si>
    <t>Should improve verbal aptitude and practice layered reasoning questions.</t>
  </si>
  <si>
    <t>Applies shortcuts effectively, stays engaged in group reasoning, and learns quickly from feedback.</t>
  </si>
  <si>
    <t>Should improve grammar-based aptitude and increase reasoning speed.</t>
  </si>
  <si>
    <t>Needs attention</t>
  </si>
  <si>
    <t>Himanshu Koshta</t>
  </si>
  <si>
    <t>Approaches class challenges enthusiastically, takes initiative, and demonstrates a willingness to engage in problem-solving.</t>
  </si>
  <si>
    <t>Amplify reasoning accuracy by double-checking answers, improve attention to detail, and strengthen consistency across numerical questions.</t>
  </si>
  <si>
    <t>Puts consistent effort in practice sets and listens actively in class.</t>
  </si>
  <si>
    <t>Must work on accuracy and avoid rushing through questions.</t>
  </si>
  <si>
    <t>Puts strong effort in practice sets, listens actively, and engages in class activities.</t>
  </si>
  <si>
    <t>Should double-check answers for accuracy and avoid rushing through questions.</t>
  </si>
  <si>
    <t>Focuses attentively on instructions, improves accuracy steadily, and applies concepts carefully.</t>
  </si>
  <si>
    <t>Needs to avoid rushing in easy problems and build more confidence in oral responses.</t>
  </si>
  <si>
    <t>Applies concepts carefully, shows gradual improvement in accuracy, and stays attentive in class.</t>
  </si>
  <si>
    <t>Needs to build speed in quant and attempt more mocks with time discipline.</t>
  </si>
  <si>
    <t>Satisfactory</t>
  </si>
  <si>
    <t>Hotam</t>
  </si>
  <si>
    <t>Applies disciplined problem-solving methods, utilizes strong mathematical background effectively, and engages actively in classroom discussions.</t>
  </si>
  <si>
    <t>Address logical reasoning deficiencies, boost oral calculation performance, and develop confidence to tackle challenging questions.</t>
  </si>
  <si>
    <t>Applies basic math skills confidently during speed tests.</t>
  </si>
  <si>
    <t>Should improve logical reasoning structure and minimize random guessing.</t>
  </si>
  <si>
    <t>Applies math concepts confidently, engages actively in class, and uses disciplined approach.</t>
  </si>
  <si>
    <t>Needs to boost logical reasoning ability and avoid random guesses in tests.</t>
  </si>
  <si>
    <t>Improves application of quant tricks, demonstrates active participation, and shows steady progress.</t>
  </si>
  <si>
    <t>Should practice reasoning with time-bound sets and avoid random guessing.</t>
  </si>
  <si>
    <t>Improves accuracy in quant, applies shortcuts smoothly, and demonstrates consistent practice.</t>
  </si>
  <si>
    <t>Should work on reasoning stamina and reduce small mistakes in DI.</t>
  </si>
  <si>
    <t>Green</t>
  </si>
  <si>
    <t>Good</t>
  </si>
  <si>
    <t>Kamana Singh</t>
  </si>
  <si>
    <t>Analyzes problems with patience, persists through difficulties, and learns progressively with each session.</t>
  </si>
  <si>
    <t>Advance group participation skills, improve speed in solving timed problem sets, and actively involve in collaborative discussions.</t>
  </si>
  <si>
    <t>Shows consistency in attempting class exercises and steady growth.</t>
  </si>
  <si>
    <t>Should increase confidence during oral presentations and improve response time.</t>
  </si>
  <si>
    <t>Shows patience in problem-solving, persists with difficult tasks, and improves progressively.</t>
  </si>
  <si>
    <t>Should build confidence in oral responses and increase speed in timed sets.</t>
  </si>
  <si>
    <t>Shows determination in solving difficult tasks, demonstrates clear conceptual understanding, and improves gradually.</t>
  </si>
  <si>
    <t>Should increase pace in oral reasoning and work on complex DI sets.</t>
  </si>
  <si>
    <t>Applies concepts in reasoning clearly, demonstrates determination, and shows steady growth.</t>
  </si>
  <si>
    <t>Needs to improve oral quant pace and expand practice on puzzle sets.</t>
  </si>
  <si>
    <t>Karan jha</t>
  </si>
  <si>
    <t>Adapts swiftly to new problem-solving strategies, learns at an impressive pace, and applies innovative methods effectively.</t>
  </si>
  <si>
    <t>Acquire broader exposure to various aptitude topics, diversify practice, and increase comfort with less familiar question types.</t>
  </si>
  <si>
    <t>Learns concepts rapidly and brings creativity to solutions.</t>
  </si>
  <si>
    <t>Needs to explore more topics and reduce dependency on solved examples.</t>
  </si>
  <si>
    <t>Learns concepts rapidly, adapts new strategies easily, and applies creativity in solutions.</t>
  </si>
  <si>
    <t>Must diversify practice with less familiar topics and reduce reliance on examples.</t>
  </si>
  <si>
    <t>Learns new patterns quickly, applies reasoning creatively, and contributes actively in class tasks.</t>
  </si>
  <si>
    <t>Needs to practice unfamiliar quant topics and reduce hesitation in oral answers.</t>
  </si>
  <si>
    <t>Adapts quickly to reasoning challenges, applies logic effectively, and shows strong engagement.</t>
  </si>
  <si>
    <t>Should practice quant topics more deeply and improve DI interpretation.</t>
  </si>
  <si>
    <t>Karan Singh Chauhan</t>
  </si>
  <si>
    <t>Im passionate for becoming the software engineer, and want to join TCS, Accenture, Wipro, Capegemini, Cognizant.As a senior software developer. My strength are adaptive nature and creative thinker .</t>
  </si>
  <si>
    <t>Achieves excellent results under pressure, demonstrates strong quantitative aptitude, and maintains composure during assessments.</t>
  </si>
  <si>
    <t>Advance structured approaches to reasoning, enhance multi-step logical thinking, and work on refining time allocation per question.</t>
  </si>
  <si>
    <t>Stays calm during difficult tasks and performs well in peer-based activities.</t>
  </si>
  <si>
    <t>Should strengthen understanding of compound logic and verbal puzzles.</t>
  </si>
  <si>
    <t>Maintains calm under pressure, applies quantitative aptitude effectively, and shows resilience.</t>
  </si>
  <si>
    <t>Should strengthen compound logic understanding and verbal puzzle-solving.</t>
  </si>
  <si>
    <t>Remains calm in tests, applies logical thinking consistently, and shows steady improvement.</t>
  </si>
  <si>
    <t>Should practice compound reasoning puzzles and expand on DI accuracy.</t>
  </si>
  <si>
    <t>Applies reasoning calmly, maintains steady progress, and shows clarity in logical application.</t>
  </si>
  <si>
    <t>Needs to expand practice in DI tables and improve speed in abstract puzzles.</t>
  </si>
  <si>
    <t xml:space="preserve">Keerti Rajput </t>
  </si>
  <si>
    <t>Applies focused attention in verbal reasoning, maintains consistency across learning activities, and approaches exercises with diligence.</t>
  </si>
  <si>
    <t>Advance numerical reasoning through increased practice, balance quantitative and verbal performance, and strengthen accuracy in calculations.</t>
  </si>
  <si>
    <t>Performs well in verbal reasoning and applies sentence logic effectively.</t>
  </si>
  <si>
    <t>Needs to build balance between quant and reasoning sections under time limits.</t>
  </si>
  <si>
    <t>Performs well in verbal reasoning, applies sentence logic clearly, and shows diligence.</t>
  </si>
  <si>
    <t>Needs to balance quant and reasoning, and strengthen calculation speed.</t>
  </si>
  <si>
    <t>Shows strong verbal reasoning skills, applies logic accurately, and maintains discipline in study.</t>
  </si>
  <si>
    <t>Needs to focus more on quant calculations and improve time management.</t>
  </si>
  <si>
    <t>Strong in verbal reasoning, applies structured logic, and maintains discipline in practice.</t>
  </si>
  <si>
    <t>Should focus more on quant calculations and revise formulas regularly.</t>
  </si>
  <si>
    <t xml:space="preserve">Kuldeep Rana </t>
  </si>
  <si>
    <t>Achieves near-perfect calculation accuracy, pays exceptional attention to detail, and completes tasks with efficiency.</t>
  </si>
  <si>
    <t>Advance time management skills to boost test efficiency, reduce hesitation during timed sections, and practice quick-solving techniques.</t>
  </si>
  <si>
    <t>Consistent performer in calculations and avoids common errors.</t>
  </si>
  <si>
    <t>Should improve speed under mock pressure and reduce hesitation while answering.</t>
  </si>
  <si>
    <t>Displays accuracy in calculations, maintains steady performance, and avoids common errors.</t>
  </si>
  <si>
    <t>Should work on faster responses during mock exams and reduce hesitation.</t>
  </si>
  <si>
    <t>Applies calculations with good accuracy, demonstrates discipline, and maintains steady progress.</t>
  </si>
  <si>
    <t>Should practice more timed mocks to improve response time under pressure.</t>
  </si>
  <si>
    <t>Accurate in arithmetic, applies methods confidently, and maintains practice consistency.</t>
  </si>
  <si>
    <t>Needs to improve time management and expand DI problem-solving.</t>
  </si>
  <si>
    <t>Mahak Shrivastava</t>
  </si>
  <si>
    <t>I want to become a full stack developer and want to go in the companies like TCS, Accenture, Wipro,Capegimini,Cognizant. My strengths are Resilience and Creative Thinker.</t>
  </si>
  <si>
    <t>Absorbs instructor feedback instantly, applies it effectively, and demonstrates strong performance in classroom exercises.</t>
  </si>
  <si>
    <t>Advance reasoning depth by practicing complex puzzles, develop deeper analytical approaches, and improve handling of brain teasers.</t>
  </si>
  <si>
    <t>Actively participates in discussions and responds quickly to queries.</t>
  </si>
  <si>
    <t>Needs to enhance accuracy in brain teasers and apply tricks consistently.</t>
  </si>
  <si>
    <t>Participates actively, applies instructor feedback instantly, and responds confidently.</t>
  </si>
  <si>
    <t>Must improve handling of complex puzzles and enhance consistency in reasoning depth.</t>
  </si>
  <si>
    <t>Participates actively in group reasoning, applies concepts confidently, and learns from feedback.</t>
  </si>
  <si>
    <t>Needs to handle complex puzzles with more ease and balance quant and reasoning equally.</t>
  </si>
  <si>
    <t>Applies reasoning actively, shows good participation in discussions, and learns from corrections.</t>
  </si>
  <si>
    <t>Should attempt advanced puzzles and balance time between quant and reasoning.</t>
  </si>
  <si>
    <t>Naveen Kotnala</t>
  </si>
  <si>
    <t>Applies logical reasoning with speed, understands concepts quickly, and establishes strong links between topics.</t>
  </si>
  <si>
    <t>Advance data interpretation practice, improve time-sensitive performance, and enhance accuracy during high-pressure testing.</t>
  </si>
  <si>
    <t>Applies logical techniques well and shows interest in analytical tasks.</t>
  </si>
  <si>
    <t>Must manage DI sets within time and increase involvement in oral practice.</t>
  </si>
  <si>
    <t>Demonstrates speed in reasoning, connects concepts effectively, and shows interest in analytics.</t>
  </si>
  <si>
    <t>Should practice DI sets under time limits and engage more in oral practice.</t>
  </si>
  <si>
    <t>Shows strength in analytical reasoning, applies concepts quickly, and demonstrates speed in logic.</t>
  </si>
  <si>
    <t>Should practice DI sets more consistently and enhance arithmetic revision.</t>
  </si>
  <si>
    <t>Strong in analytical reasoning, applies concepts rapidly, and shows confidence in oral drills.</t>
  </si>
  <si>
    <t>Needs to work more on arithmetic accuracy and DI speed practice.</t>
  </si>
  <si>
    <t xml:space="preserve">Pankaj Sharma </t>
  </si>
  <si>
    <t>Achieves consistent results in quantitative sections, demonstrates confidence in solving ratios and percentages, and maintains focus.</t>
  </si>
  <si>
    <t>Advance verbal aptitude to balance overall performance, strengthen sentence correction skills, and practice para-jumbles.</t>
  </si>
  <si>
    <t>Confident in quant and regularly volunteers answers in class.</t>
  </si>
  <si>
    <t>Should work on verbal logic confidence and improve grammar-based logic.</t>
  </si>
  <si>
    <t>Confident in quant sections, solves ratios/percentages easily, and volunteers frequently.</t>
  </si>
  <si>
    <t>Needs to work on verbal aptitude, especially grammar-based logic.</t>
  </si>
  <si>
    <t>Confident in percentages and ratios, applies arithmetic well, and engages actively in practice.</t>
  </si>
  <si>
    <t>Needs to improve grammar-based verbal reasoning and solve timed mocks more often.</t>
  </si>
  <si>
    <t>Applies arithmetic well, shows clarity in ratios and percentages, and engages actively.</t>
  </si>
  <si>
    <t>Should attempt higher-level DI sets and refine reasoning accuracy.</t>
  </si>
  <si>
    <t xml:space="preserve">Rajkumar singh </t>
  </si>
  <si>
    <t>Analyzes concepts deeply, demonstrates curiosity in learning, and applies logic effectively in solving problems.</t>
  </si>
  <si>
    <t>Advance regular practice routines, convert curiosity into faster solving speed, and focus on eliminating minor calculation delays.</t>
  </si>
  <si>
    <t>Displays deep analytical thinking and connects concepts effectively.</t>
  </si>
  <si>
    <t>Needs to pace up during timed sessions and explore shortcut techniques further.</t>
  </si>
  <si>
    <t>Thinks analytically, connects concepts deeply, and applies logic consistently.</t>
  </si>
  <si>
    <t>Must practice faster solving under time pressure and adopt shortcut techniques.</t>
  </si>
  <si>
    <t>Applies deep logic in puzzles, demonstrates analytical thinking, and maintains accuracy.</t>
  </si>
  <si>
    <t>Should increase speed in problem solving and adopt quicker methods in DI.</t>
  </si>
  <si>
    <t>Strong analytical logic, applies reasoning deeply, and maintains accuracy in puzzles.</t>
  </si>
  <si>
    <t>Needs to increase speed in quant and avoid re-checking every small step.</t>
  </si>
  <si>
    <t xml:space="preserve">Rohit Gurjar </t>
  </si>
  <si>
    <t>Applies strong mathematical foundation effectively, uses time-saving strategies well, and solves quantitative tasks accurately.</t>
  </si>
  <si>
    <t>Advance verbal reasoning through targeted comprehension practice, improve inference-solving accuracy, and balance performance across sections.</t>
  </si>
  <si>
    <t>Manages time well and completes problem sets efficiently.</t>
  </si>
  <si>
    <t>Should improve inference-making in comprehension-based tasks.</t>
  </si>
  <si>
    <t>Strong in quant foundation, applies tricks efficiently, and manages time well.</t>
  </si>
  <si>
    <t>Should practice inference-based comprehension tasks and balance reasoning sections.</t>
  </si>
  <si>
    <t>Applies quant tricks effectively, balances time in exams, and shows disciplined study habits.</t>
  </si>
  <si>
    <t>Needs to practice inference-based reasoning and diversify question exposure.</t>
  </si>
  <si>
    <t>Applies quant tricks smoothly, balances test time well, and shows regular practice.</t>
  </si>
  <si>
    <t>Should practice inference-based reasoning and improve data analysis skills.</t>
  </si>
  <si>
    <t xml:space="preserve">Sonu Prajapati </t>
  </si>
  <si>
    <t>I want to become a Cyber Security Expert and want to go in the companies like TCS, Accenture, microsoft,amazon,google. My strengths are Resilience and Creative Thinker.</t>
  </si>
  <si>
    <t>Actively engages in problem-solving, offers thoughtful responses, and consistently applies learned techniques in practice.</t>
  </si>
  <si>
    <t>Advance stamina for lengthy assessments, improve handling of full-length mocks, and sustain focus over extended problem sets.</t>
  </si>
  <si>
    <t>Applies concepts with accuracy and learns from errors constructively.</t>
  </si>
  <si>
    <t>Must increase test stamina and avoid overthinking on simple questions.</t>
  </si>
  <si>
    <t>Applies learned techniques correctly, engages in problem-solving, and shows resilience.</t>
  </si>
  <si>
    <t>Must build stamina for long mocks and avoid overthinking simple sums.</t>
  </si>
  <si>
    <t>Applies techniques confidently, participates consistently, and shows growing resilience.</t>
  </si>
  <si>
    <t>Should build focus in lengthy tests and avoid over-analyzing simple sums.</t>
  </si>
  <si>
    <t>Applies methods with confidence, participates actively, and shows growing consistency.</t>
  </si>
  <si>
    <t>Needs to develop more stamina in lengthy tests and strengthen DI practice.</t>
  </si>
  <si>
    <t>Subant singh</t>
  </si>
  <si>
    <t>Approaches learning with calmness, maintains steady focus during practice, and handles tasks consistently.</t>
  </si>
  <si>
    <t>Advance abstract reasoning, strengthen puzzle-solving strategies, and diversify exposure to complex logical formats.</t>
  </si>
  <si>
    <t>Maintains composure in challenging tasks and performs with clarity.</t>
  </si>
  <si>
    <t>Needs more practice in visual and abstract puzzles under time pressure.</t>
  </si>
  <si>
    <t>Stays calm in learning, maintains clarity in tasks, and handles challenges well.</t>
  </si>
  <si>
    <t>Should strengthen abstract reasoning and practice puzzles under time pressure.</t>
  </si>
  <si>
    <t>Shows clarity in logic, stays calm in difficult situations, and adapts steadily.</t>
  </si>
  <si>
    <t>Needs to improve abstract reasoning and practice more puzzle-based sets.</t>
  </si>
  <si>
    <t>Applies logical steps clearly, stays calm in puzzles, and adapts steadily.</t>
  </si>
  <si>
    <t>Should attempt abstract reasoning regularly and practice more advanced sets.</t>
  </si>
  <si>
    <t xml:space="preserve">Tanu Rathore </t>
  </si>
  <si>
    <t>Applies verbal aptitude skills confidently, demonstrates strong language understanding, and answers reasoning tasks accurately.</t>
  </si>
  <si>
    <t>Advance quantitative sections like time &amp; work, practice compound interest questions, and achieve better balance across all areas.</t>
  </si>
  <si>
    <t>Understands verbal patterns well and applies concepts quickly.</t>
  </si>
  <si>
    <t>Should work on compound interest and ratio-based DI problems.</t>
  </si>
  <si>
    <t>Confident in verbal aptitude, demonstrates strong language grasp, and answers accurately.</t>
  </si>
  <si>
    <t>Needs to work on quant topics like CI, time &amp; work, and DI ratios.</t>
  </si>
  <si>
    <t>Performs strongly in verbal aptitude, maintains confidence, and applies reasoning accurately.</t>
  </si>
  <si>
    <t>Should practice quant topics like CI and DI more frequently and with speed.</t>
  </si>
  <si>
    <t>Strong in verbal aptitude, applies reasoning with confidence, and demonstrates consistent learning.</t>
  </si>
  <si>
    <t>Needs to improve quant skills like CI and SI and practice DI more regularly.</t>
  </si>
  <si>
    <t>Vedanshi Awasthi</t>
  </si>
  <si>
    <t>Absorbs new methods quickly, experiments with alternate solutions, and applies creative techniques in problem-solving.</t>
  </si>
  <si>
    <t>Advance arithmetic accuracy by revisiting basic operations, reduce calculation mistakes, and strengthen consistency during timed tests.</t>
  </si>
  <si>
    <t>Uses smart approaches in solving complex math problems.</t>
  </si>
  <si>
    <t>Must reduce calculation slips and sharpen focus on critical steps.</t>
  </si>
  <si>
    <t>Adopts smart approaches, experiments with methods, and applies creativity in solutions.</t>
  </si>
  <si>
    <t>Must reduce calculation slips and improve focus during critical steps.</t>
  </si>
  <si>
    <t>Applies smart solving approaches, experiments with different strategies, and adapts quickly.</t>
  </si>
  <si>
    <t>Needs to reduce minor calculation errors and stay more consistent in timed mocks.</t>
  </si>
  <si>
    <t>Applies different strategies smartly, adapts to challenges well, and shows curiosity.</t>
  </si>
  <si>
    <t>Needs to avoid minor arithmetic errors and practice timed mocks more consistently.</t>
  </si>
  <si>
    <t>Yana khan</t>
  </si>
  <si>
    <t>Analyzes complex reasoning tasks with clarity, maintains an organized approach, and demonstrates maturity in problem-solving.</t>
  </si>
  <si>
    <t>Advance confidence in numerical sections, practice topic-wise drills, and refine accuracy through continuous evaluation.</t>
  </si>
  <si>
    <t>Applies logical thinking accurately and adapts well to problem variations.</t>
  </si>
  <si>
    <t>Should develop greater topic-specific confidence and attempt tougher problems.</t>
  </si>
  <si>
    <t>Applies structured logic effectively, maintains maturity in problem-solving, and adapts quickly.</t>
  </si>
  <si>
    <t>Needs to build greater confidence in numerical sections and attempt tougher drills.</t>
  </si>
  <si>
    <t>Applies reasoning in structured manner, shows maturity in solving puzzles, and adapts well to challenges.</t>
  </si>
  <si>
    <t>Should build confidence in quant-heavy sections and handle DI more actively.</t>
  </si>
  <si>
    <t>Applies structured reasoning effectively, shows clarity in puzzles, and stays confident in class.</t>
  </si>
  <si>
    <t>Should build speed in quant-heavy sections and expand DI practice.</t>
  </si>
  <si>
    <t>Yash Kulhadiya</t>
  </si>
  <si>
    <t>Adapts strategies effectively, responds well to feedback, and applies learning in subsequent tasks successfully.</t>
  </si>
  <si>
    <t>Advance verbal interpretation, improve comprehension speed, and practice summarizing information for better performance.</t>
  </si>
  <si>
    <t>Makes good use of techniques taught and adjusts approach when needed.</t>
  </si>
  <si>
    <t>Needs to improve summarization skills and avoid skipping problem steps.</t>
  </si>
  <si>
    <t>Adjusts approach based on feedback, applies strategies well, and improves steadily.</t>
  </si>
  <si>
    <t>Should practice summarization skills in comprehension and avoid skipping steps.</t>
  </si>
  <si>
    <t>Applies strategies effectively, demonstrates steady progress, and adapts well to challenges.</t>
  </si>
  <si>
    <t>Needs to practice summarization in reasoning and focus more on attention to detail.</t>
  </si>
  <si>
    <t>Applies techniques effectively, shows steady progress, and adapts positively to corrections.</t>
  </si>
  <si>
    <t>Needs to practice summarization in reasoning and focus on accuracy in quant.</t>
  </si>
  <si>
    <t xml:space="preserve">Yuvraj Singh chandel </t>
  </si>
  <si>
    <t>Applies logical reasoning effectively, reaches correct conclusions quickly, and maintains clarity in thought processes.</t>
  </si>
  <si>
    <t>Advance numerical accuracy by reviewing each step, strengthen verification habits, and ensure consistent error-free solutions.</t>
  </si>
  <si>
    <t>Mr. Yuvraj Singh Chandel is on medical leave as he recently met with an accident. He will not be able to attend classes until further recovery. His absence may kindly be excused.</t>
  </si>
  <si>
    <t xml:space="preserve">Ankit Rana </t>
  </si>
  <si>
    <t>Adopts new problem-solving techniques proactively, embraces challenges, and applies quick-learning strategies.</t>
  </si>
  <si>
    <t>Advance data interpretation through graph-based problem practice, enhance analytical precision, and refine graphical analysis.</t>
  </si>
  <si>
    <t>Strong in interpreting graphs and solving DI efficiently.</t>
  </si>
  <si>
    <t>Needs to refine graphical precision and simplify solution steps.</t>
  </si>
  <si>
    <t>Strong in graph-based DI, interprets visuals well, and applies analytical thinking quickly.</t>
  </si>
  <si>
    <t>Needs to refine graphical accuracy and simplify DI solving steps.</t>
  </si>
  <si>
    <t>Strong with graph-based DI, applies analytical reasoning clearly, and shows quick observation.</t>
  </si>
  <si>
    <t>Needs to refine interpretation of graphs and avoid overlooking small details.</t>
  </si>
  <si>
    <t>Strong in graph and table DI, applies analytical reasoning accurately, and observes carefully.</t>
  </si>
  <si>
    <t>Needs to improve interpretation of complex graphs and avoid overlooking details.</t>
  </si>
  <si>
    <t xml:space="preserve">Akhand Pratap Singh </t>
  </si>
  <si>
    <t>Articulates reasoning solutions confidently, shows strong verbal reasoning skills, and communicates ideas clearly in group tasks.</t>
  </si>
  <si>
    <t>Advance arithmetic fundamentals, balance performance across sections, and strengthen calculations for higher scores.</t>
  </si>
  <si>
    <t>Has strong verbal logic reasoning and handles input-output well.</t>
  </si>
  <si>
    <t>Should revisit arithmetic foundations and time allocation strategies.</t>
  </si>
  <si>
    <t>Communicates solutions confidently, applies verbal reasoning strongly, and handles input-output well.</t>
  </si>
  <si>
    <t>Must revisit arithmetic basics and manage time more effectively.</t>
  </si>
  <si>
    <t>Confident in expressing answers, applies verbal reasoning effectively, and shows consistency.</t>
  </si>
  <si>
    <t>Should revisit arithmetic fundamentals and focus on time-bound problem solving.</t>
  </si>
  <si>
    <t>Shows confidence in verbal logic, applies reasoning effectively, and demonstrates growth.</t>
  </si>
  <si>
    <t>Should revisit arithmetic regularly and practice time-bound tests.</t>
  </si>
  <si>
    <t xml:space="preserve">Abhishek Chakrawati </t>
  </si>
  <si>
    <t>Analyzes problems analytically, puts in extra effort consistently, and demonstrates strong dedication toward improvement.</t>
  </si>
  <si>
    <t>Advance time management to avoid incomplete attempts, practice under exam conditions, and improve pacing across complex sections.</t>
  </si>
  <si>
    <t>Stays focused during class and shows persistence in difficult topics.</t>
  </si>
  <si>
    <t>Should build better pacing strategy during mocks and reduce anxiety.</t>
  </si>
  <si>
    <t>Shows persistence in learning, applies effort diligently, and maintains strong focus.</t>
  </si>
  <si>
    <t>Should build pacing strategies during mocks and reduce exam anxiety.</t>
  </si>
  <si>
    <t>Shows steady determination, applies learning diligently, and stays focused in class.</t>
  </si>
  <si>
    <t>Needs to improve pacing strategies in mocks and reduce nervousness during timed tests.</t>
  </si>
  <si>
    <t>Steady in practice, applies learning consistently, and demonstrates growing confidence.</t>
  </si>
  <si>
    <t>Needs to refine pacing strategies and reduce hesitation in challenging mocks.</t>
  </si>
  <si>
    <t xml:space="preserve">Amber Total = </t>
  </si>
  <si>
    <t xml:space="preserve">Red Total = </t>
  </si>
  <si>
    <t xml:space="preserve">Green Total = </t>
  </si>
  <si>
    <t xml:space="preserve">A+R+G Total = </t>
  </si>
  <si>
    <t>A % =</t>
  </si>
  <si>
    <t xml:space="preserve">R % = </t>
  </si>
  <si>
    <t xml:space="preserve">G % = </t>
  </si>
  <si>
    <t>Below Expectations</t>
  </si>
  <si>
    <t>Meeting Expectations</t>
  </si>
  <si>
    <t>Above Expectations</t>
  </si>
  <si>
    <t>The student is motivated and responds well to guidance provided during counselling sessions.</t>
  </si>
  <si>
    <t>The student shows a positive learning attitude and is steadily improving conceptual clarity.</t>
  </si>
  <si>
    <t>The student shows willingness to learn and is making gradual progress in core areas.</t>
  </si>
  <si>
    <t>The student maintains discipline and is working towards improving overall performance.</t>
  </si>
  <si>
    <t>The student is regular in attendance and demonstrates growing confidence in problem-solving.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</si>
</sst>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8B8B"/>
        <bgColor indexed="64"/>
      </patternFill>
    </fill>
    <fill>
      <patternFill patternType="solid">
        <fgColor rgb="FF92D050"/>
        <bgColor indexed="64"/>
      </patternFill>
    </fill>
    <fill>
      <patternFill patternType="solid">
        <fgColor rgb="FFFFFF8F"/>
        <bgColor indexed="64"/>
      </patternFill>
    </fill>
    <fill>
      <patternFill patternType="solid">
        <fgColor rgb="FFB8E08C"/>
        <bgColor indexed="64"/>
      </patternFill>
    </fill>
    <fill>
      <patternFill patternType="solid">
        <fgColor theme="8"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6" fillId="0" borderId="0" xfId="0" applyFont="1" applyFill="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xf numFmtId="0" fontId="0" fillId="0" borderId="0" xfId="0" applyBorder="1" applyAlignment="1">
      <alignment vertical="center" wrapText="1"/>
    </xf>
    <xf numFmtId="0" fontId="0" fillId="0" borderId="11" xfId="0" applyBorder="1" applyAlignment="1">
      <alignment vertical="center" wrapText="1"/>
    </xf>
    <xf numFmtId="0" fontId="0" fillId="0" borderId="12" xfId="0" applyBorder="1" applyAlignment="1">
      <alignment horizontal="center" vertical="center" wrapText="1"/>
    </xf>
    <xf numFmtId="0" fontId="0" fillId="0" borderId="13" xfId="0" applyBorder="1" applyAlignment="1">
      <alignment vertical="center" wrapText="1"/>
    </xf>
    <xf numFmtId="0" fontId="0" fillId="0" borderId="14" xfId="0" applyBorder="1" applyAlignment="1">
      <alignment horizontal="center" vertical="center" wrapText="1"/>
    </xf>
    <xf numFmtId="0" fontId="0" fillId="0" borderId="15" xfId="0" applyBorder="1" applyAlignment="1">
      <alignment vertical="center" wrapText="1"/>
    </xf>
    <xf numFmtId="0" fontId="0" fillId="0" borderId="16" xfId="0" applyBorder="1" applyAlignment="1">
      <alignment horizontal="center" vertical="center" wrapText="1"/>
    </xf>
    <xf numFmtId="0" fontId="18" fillId="0" borderId="0" xfId="0" applyFont="1" applyBorder="1" applyAlignment="1">
      <alignment vertical="center" wrapText="1"/>
    </xf>
    <xf numFmtId="0" fontId="0" fillId="0" borderId="17" xfId="0" applyBorder="1" applyAlignment="1">
      <alignment vertical="center" wrapText="1"/>
    </xf>
    <xf numFmtId="0" fontId="18" fillId="0" borderId="17" xfId="0" applyFont="1" applyBorder="1" applyAlignment="1">
      <alignment vertical="center" wrapText="1"/>
    </xf>
    <xf numFmtId="0" fontId="16" fillId="33" borderId="10" xfId="0" applyFont="1" applyFill="1" applyBorder="1" applyAlignment="1">
      <alignment horizontal="center" vertical="center" wrapText="1"/>
    </xf>
    <xf numFmtId="0" fontId="16" fillId="33" borderId="10" xfId="0" applyFont="1" applyFill="1" applyBorder="1" applyAlignment="1">
      <alignment horizontal="center" vertical="center" wrapText="1"/>
    </xf>
    <xf numFmtId="0" fontId="16" fillId="0" borderId="14" xfId="0" applyFont="1" applyBorder="1" applyAlignment="1">
      <alignment horizontal="center" vertical="center" wrapText="1"/>
    </xf>
    <xf numFmtId="0" fontId="16" fillId="0" borderId="16" xfId="0" applyFont="1" applyBorder="1" applyAlignment="1">
      <alignment horizontal="center" vertical="center" wrapText="1"/>
    </xf>
    <xf numFmtId="0" fontId="19" fillId="36" borderId="10" xfId="0" applyFont="1" applyFill="1" applyBorder="1" applyAlignment="1">
      <alignment horizontal="center" vertical="center" wrapText="1"/>
    </xf>
    <xf numFmtId="0" fontId="16" fillId="37" borderId="10" xfId="0" applyFont="1" applyFill="1" applyBorder="1" applyAlignment="1">
      <alignment horizontal="center" vertical="center" wrapText="1"/>
    </xf>
    <xf numFmtId="0" fontId="16" fillId="34" borderId="18" xfId="0" applyFont="1" applyFill="1" applyBorder="1" applyAlignment="1">
      <alignment horizontal="center" vertical="center" wrapText="1"/>
    </xf>
    <xf numFmtId="0" fontId="16" fillId="38" borderId="19" xfId="0" applyFont="1" applyFill="1" applyBorder="1" applyAlignment="1">
      <alignment horizontal="center" vertical="center" wrapText="1"/>
    </xf>
    <xf numFmtId="0" fontId="16" fillId="38" borderId="20" xfId="0" applyFont="1" applyFill="1" applyBorder="1" applyAlignment="1">
      <alignment horizontal="center" vertical="center" wrapText="1"/>
    </xf>
    <xf numFmtId="0" fontId="16" fillId="35" borderId="10"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rgb="FFFFC7CE"/>
        </patternFill>
      </fill>
    </dxf>
    <dxf>
      <fill>
        <patternFill>
          <bgColor rgb="FFFFFF8F"/>
        </patternFill>
      </fill>
    </dxf>
    <dxf>
      <fill>
        <patternFill>
          <bgColor rgb="FFB8E08C"/>
        </patternFill>
      </fill>
    </dxf>
    <dxf>
      <fill>
        <patternFill>
          <bgColor rgb="FFFFFF8F"/>
        </patternFill>
      </fill>
    </dxf>
    <dxf>
      <fill>
        <patternFill>
          <bgColor rgb="FFFFC7CE"/>
        </patternFill>
      </fill>
    </dxf>
    <dxf>
      <fill>
        <patternFill>
          <bgColor rgb="FFFFC7CE"/>
        </patternFill>
      </fill>
    </dxf>
  </dxfs>
  <tableStyles count="0" defaultTableStyle="TableStyleMedium2" defaultPivotStyle="PivotStyleLight16"/>
  <colors>
    <mruColors>
      <color rgb="FFFF8B8B"/>
      <color rgb="FFB8E08C"/>
      <color rgb="FFFFF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A2FBE-A418-497E-857F-C9AB5F174D41}">
  <dimension ref="A1:U64"/>
  <sheetViews>
    <sheetView tabSelected="1" zoomScale="51" zoomScaleNormal="10" workbookViewId="0">
      <selection activeCell="F5" sqref="F5"/>
    </sheetView>
  </sheetViews>
  <sheetFormatPr defaultRowHeight="14.4" x14ac:dyDescent="0.3"/>
  <cols>
    <col min="1" max="1" width="12.6640625" style="2" customWidth="1"/>
    <col min="2" max="2" width="24" style="2" customWidth="1"/>
    <col min="3" max="3" width="74.88671875" style="2" customWidth="1"/>
    <col min="4" max="4" width="76.33203125" style="2" customWidth="1"/>
    <col min="5" max="5" width="67.77734375" style="2" customWidth="1"/>
    <col min="6" max="6" width="75.6640625" style="2" customWidth="1"/>
    <col min="7" max="7" width="80.44140625" style="2" customWidth="1"/>
    <col min="8" max="8" width="75.88671875" style="2" customWidth="1"/>
    <col min="9" max="9" width="75.6640625" style="2" customWidth="1"/>
    <col min="10" max="10" width="58.44140625" style="2" customWidth="1"/>
    <col min="11" max="11" width="71.44140625" style="2" customWidth="1"/>
    <col min="12" max="12" width="79.109375" style="2" customWidth="1"/>
    <col min="13" max="13" width="54.77734375" style="2" customWidth="1"/>
    <col min="14" max="14" width="55.88671875" style="2" customWidth="1"/>
    <col min="15" max="15" width="93.5546875" style="2" customWidth="1"/>
    <col min="16" max="16" width="73.5546875" style="2" customWidth="1"/>
    <col min="17" max="17" width="55.77734375" style="2" customWidth="1"/>
    <col min="18" max="18" width="32.5546875" style="3" customWidth="1"/>
    <col min="19" max="19" width="8.88671875" style="2"/>
    <col min="20" max="20" width="32" style="2" customWidth="1"/>
    <col min="21" max="21" width="16.33203125" style="2" customWidth="1"/>
    <col min="22" max="16384" width="8.88671875" style="2"/>
  </cols>
  <sheetData>
    <row r="1" spans="1:19" s="1" customFormat="1" x14ac:dyDescent="0.3">
      <c r="A1" s="15" t="s">
        <v>0</v>
      </c>
      <c r="B1" s="15" t="s">
        <v>1</v>
      </c>
      <c r="C1" s="16" t="s">
        <v>2</v>
      </c>
      <c r="D1" s="16"/>
      <c r="E1" s="16"/>
      <c r="F1" s="16" t="s">
        <v>3</v>
      </c>
      <c r="G1" s="16"/>
      <c r="H1" s="16"/>
      <c r="I1" s="16" t="s">
        <v>4</v>
      </c>
      <c r="J1" s="16"/>
      <c r="K1" s="16"/>
      <c r="L1" s="16" t="s">
        <v>5</v>
      </c>
      <c r="M1" s="16"/>
      <c r="N1" s="16"/>
      <c r="O1" s="16" t="s">
        <v>6</v>
      </c>
      <c r="P1" s="16"/>
      <c r="Q1" s="16"/>
      <c r="R1" s="15" t="s">
        <v>7</v>
      </c>
      <c r="S1" s="1" t="s">
        <v>8</v>
      </c>
    </row>
    <row r="2" spans="1:19" s="1" customFormat="1" x14ac:dyDescent="0.3">
      <c r="A2" s="24"/>
      <c r="B2" s="24"/>
      <c r="C2" s="24" t="s">
        <v>9</v>
      </c>
      <c r="D2" s="24" t="s">
        <v>10</v>
      </c>
      <c r="E2" s="24" t="s">
        <v>11</v>
      </c>
      <c r="F2" s="24" t="s">
        <v>9</v>
      </c>
      <c r="G2" s="24" t="s">
        <v>10</v>
      </c>
      <c r="H2" s="24" t="s">
        <v>11</v>
      </c>
      <c r="I2" s="24" t="s">
        <v>9</v>
      </c>
      <c r="J2" s="24" t="s">
        <v>10</v>
      </c>
      <c r="K2" s="24" t="s">
        <v>11</v>
      </c>
      <c r="L2" s="24" t="s">
        <v>9</v>
      </c>
      <c r="M2" s="24" t="s">
        <v>10</v>
      </c>
      <c r="N2" s="24" t="s">
        <v>11</v>
      </c>
      <c r="O2" s="24" t="s">
        <v>9</v>
      </c>
      <c r="P2" s="24" t="s">
        <v>10</v>
      </c>
      <c r="Q2" s="24" t="s">
        <v>11</v>
      </c>
      <c r="R2" s="24"/>
      <c r="S2" s="1" t="s">
        <v>8</v>
      </c>
    </row>
    <row r="3" spans="1:19" ht="115.2" customHeight="1" x14ac:dyDescent="0.3">
      <c r="A3" s="25">
        <v>1</v>
      </c>
      <c r="B3" s="5" t="s">
        <v>12</v>
      </c>
      <c r="C3" s="5" t="s">
        <v>13</v>
      </c>
      <c r="D3" s="5" t="s">
        <v>14</v>
      </c>
      <c r="E3" s="5" t="s">
        <v>15</v>
      </c>
      <c r="F3" s="5" t="s">
        <v>13</v>
      </c>
      <c r="G3" s="5" t="s">
        <v>16</v>
      </c>
      <c r="H3" s="5" t="s">
        <v>17</v>
      </c>
      <c r="I3" s="5" t="s">
        <v>13</v>
      </c>
      <c r="J3" s="5" t="s">
        <v>18</v>
      </c>
      <c r="K3" s="5" t="s">
        <v>19</v>
      </c>
      <c r="L3" s="5" t="s">
        <v>13</v>
      </c>
      <c r="M3" s="5" t="s">
        <v>20</v>
      </c>
      <c r="N3" s="5" t="s">
        <v>21</v>
      </c>
      <c r="O3" s="5" t="s">
        <v>13</v>
      </c>
      <c r="P3" s="5" t="s">
        <v>22</v>
      </c>
      <c r="Q3" s="5" t="s">
        <v>23</v>
      </c>
      <c r="R3" s="17" t="s">
        <v>24</v>
      </c>
      <c r="S3" s="2" t="s">
        <v>8</v>
      </c>
    </row>
    <row r="4" spans="1:19" ht="129.6" customHeight="1" x14ac:dyDescent="0.3">
      <c r="A4" s="25">
        <v>2</v>
      </c>
      <c r="B4" s="5" t="s">
        <v>25</v>
      </c>
      <c r="C4" s="5" t="s">
        <v>26</v>
      </c>
      <c r="D4" s="5" t="s">
        <v>27</v>
      </c>
      <c r="E4" s="5" t="s">
        <v>28</v>
      </c>
      <c r="F4" s="5" t="s">
        <v>26</v>
      </c>
      <c r="G4" s="5" t="s">
        <v>29</v>
      </c>
      <c r="H4" s="5" t="s">
        <v>30</v>
      </c>
      <c r="I4" s="5" t="s">
        <v>26</v>
      </c>
      <c r="J4" s="5" t="s">
        <v>31</v>
      </c>
      <c r="K4" s="5" t="s">
        <v>32</v>
      </c>
      <c r="L4" s="5" t="s">
        <v>26</v>
      </c>
      <c r="M4" s="5" t="s">
        <v>33</v>
      </c>
      <c r="N4" s="5" t="s">
        <v>34</v>
      </c>
      <c r="O4" s="5" t="s">
        <v>26</v>
      </c>
      <c r="P4" s="5" t="s">
        <v>35</v>
      </c>
      <c r="Q4" s="5" t="s">
        <v>36</v>
      </c>
      <c r="R4" s="17" t="s">
        <v>24</v>
      </c>
    </row>
    <row r="5" spans="1:19" ht="144" customHeight="1" x14ac:dyDescent="0.3">
      <c r="A5" s="25">
        <v>3</v>
      </c>
      <c r="B5" s="5" t="s">
        <v>37</v>
      </c>
      <c r="C5" s="5" t="s">
        <v>38</v>
      </c>
      <c r="D5" s="5" t="s">
        <v>39</v>
      </c>
      <c r="E5" s="5" t="s">
        <v>40</v>
      </c>
      <c r="F5" s="5" t="s">
        <v>38</v>
      </c>
      <c r="G5" s="5" t="s">
        <v>41</v>
      </c>
      <c r="H5" s="5" t="s">
        <v>42</v>
      </c>
      <c r="I5" s="5" t="s">
        <v>38</v>
      </c>
      <c r="J5" s="5" t="s">
        <v>43</v>
      </c>
      <c r="K5" s="5" t="s">
        <v>44</v>
      </c>
      <c r="L5" s="5" t="s">
        <v>38</v>
      </c>
      <c r="M5" s="5" t="s">
        <v>45</v>
      </c>
      <c r="N5" s="5" t="s">
        <v>46</v>
      </c>
      <c r="O5" s="5" t="s">
        <v>38</v>
      </c>
      <c r="P5" s="5" t="s">
        <v>47</v>
      </c>
      <c r="Q5" s="5" t="s">
        <v>48</v>
      </c>
      <c r="R5" s="17" t="s">
        <v>294</v>
      </c>
      <c r="S5" s="2" t="s">
        <v>8</v>
      </c>
    </row>
    <row r="6" spans="1:19" ht="28.8" x14ac:dyDescent="0.3">
      <c r="A6" s="25">
        <v>4</v>
      </c>
      <c r="B6" s="5" t="s">
        <v>50</v>
      </c>
      <c r="C6" s="5" t="s">
        <v>51</v>
      </c>
      <c r="D6" s="5" t="s">
        <v>52</v>
      </c>
      <c r="E6" s="5" t="s">
        <v>53</v>
      </c>
      <c r="F6" s="5" t="s">
        <v>51</v>
      </c>
      <c r="G6" s="5" t="s">
        <v>54</v>
      </c>
      <c r="H6" s="5" t="s">
        <v>55</v>
      </c>
      <c r="I6" s="5" t="s">
        <v>51</v>
      </c>
      <c r="J6" s="5" t="s">
        <v>56</v>
      </c>
      <c r="K6" s="5" t="s">
        <v>57</v>
      </c>
      <c r="L6" s="5" t="s">
        <v>51</v>
      </c>
      <c r="M6" s="5" t="s">
        <v>58</v>
      </c>
      <c r="N6" s="5" t="s">
        <v>59</v>
      </c>
      <c r="O6" s="5" t="s">
        <v>51</v>
      </c>
      <c r="P6" s="5" t="s">
        <v>60</v>
      </c>
      <c r="Q6" s="5" t="s">
        <v>61</v>
      </c>
      <c r="R6" s="17" t="s">
        <v>24</v>
      </c>
      <c r="S6" s="2" t="s">
        <v>8</v>
      </c>
    </row>
    <row r="7" spans="1:19" ht="28.8" x14ac:dyDescent="0.3">
      <c r="A7" s="25">
        <v>5</v>
      </c>
      <c r="B7" s="5" t="s">
        <v>62</v>
      </c>
      <c r="C7" s="5" t="s">
        <v>63</v>
      </c>
      <c r="D7" s="5" t="s">
        <v>64</v>
      </c>
      <c r="E7" s="5" t="s">
        <v>65</v>
      </c>
      <c r="F7" s="5" t="s">
        <v>63</v>
      </c>
      <c r="G7" s="5" t="s">
        <v>66</v>
      </c>
      <c r="H7" s="5" t="s">
        <v>67</v>
      </c>
      <c r="I7" s="5" t="s">
        <v>63</v>
      </c>
      <c r="J7" s="5" t="s">
        <v>68</v>
      </c>
      <c r="K7" s="5" t="s">
        <v>69</v>
      </c>
      <c r="L7" s="5" t="s">
        <v>63</v>
      </c>
      <c r="M7" s="5" t="s">
        <v>70</v>
      </c>
      <c r="N7" s="5" t="s">
        <v>71</v>
      </c>
      <c r="O7" s="5" t="s">
        <v>63</v>
      </c>
      <c r="P7" s="5" t="s">
        <v>72</v>
      </c>
      <c r="Q7" s="5" t="s">
        <v>73</v>
      </c>
      <c r="R7" s="17" t="s">
        <v>49</v>
      </c>
      <c r="S7" s="2" t="s">
        <v>8</v>
      </c>
    </row>
    <row r="8" spans="1:19" ht="187.2" customHeight="1" x14ac:dyDescent="0.3">
      <c r="A8" s="25">
        <v>6</v>
      </c>
      <c r="B8" s="5" t="s">
        <v>74</v>
      </c>
      <c r="C8" s="5" t="s">
        <v>75</v>
      </c>
      <c r="D8" s="5" t="s">
        <v>76</v>
      </c>
      <c r="E8" s="5" t="s">
        <v>77</v>
      </c>
      <c r="F8" s="5" t="s">
        <v>75</v>
      </c>
      <c r="G8" s="5" t="s">
        <v>78</v>
      </c>
      <c r="H8" s="5" t="s">
        <v>79</v>
      </c>
      <c r="I8" s="5" t="s">
        <v>75</v>
      </c>
      <c r="J8" s="5" t="s">
        <v>80</v>
      </c>
      <c r="K8" s="5" t="s">
        <v>81</v>
      </c>
      <c r="L8" s="5" t="s">
        <v>75</v>
      </c>
      <c r="M8" s="5" t="s">
        <v>82</v>
      </c>
      <c r="N8" s="5" t="s">
        <v>83</v>
      </c>
      <c r="O8" s="5" t="s">
        <v>75</v>
      </c>
      <c r="P8" s="5" t="s">
        <v>84</v>
      </c>
      <c r="Q8" s="5" t="s">
        <v>85</v>
      </c>
      <c r="R8" s="17" t="s">
        <v>49</v>
      </c>
      <c r="S8" s="2" t="s">
        <v>8</v>
      </c>
    </row>
    <row r="9" spans="1:19" ht="201.6" customHeight="1" x14ac:dyDescent="0.3">
      <c r="A9" s="25">
        <v>7</v>
      </c>
      <c r="B9" s="5" t="s">
        <v>86</v>
      </c>
      <c r="C9" s="5" t="s">
        <v>87</v>
      </c>
      <c r="D9" s="5" t="s">
        <v>88</v>
      </c>
      <c r="E9" s="5" t="s">
        <v>89</v>
      </c>
      <c r="F9" s="5" t="s">
        <v>87</v>
      </c>
      <c r="G9" s="5" t="s">
        <v>90</v>
      </c>
      <c r="H9" s="5" t="s">
        <v>91</v>
      </c>
      <c r="I9" s="5" t="s">
        <v>87</v>
      </c>
      <c r="J9" s="5" t="s">
        <v>92</v>
      </c>
      <c r="K9" s="5" t="s">
        <v>93</v>
      </c>
      <c r="L9" s="5" t="s">
        <v>87</v>
      </c>
      <c r="M9" s="5" t="s">
        <v>94</v>
      </c>
      <c r="N9" s="5" t="s">
        <v>95</v>
      </c>
      <c r="O9" s="5" t="s">
        <v>87</v>
      </c>
      <c r="P9" s="5" t="s">
        <v>96</v>
      </c>
      <c r="Q9" s="5" t="s">
        <v>97</v>
      </c>
      <c r="R9" s="17" t="s">
        <v>49</v>
      </c>
      <c r="S9" s="2" t="s">
        <v>8</v>
      </c>
    </row>
    <row r="10" spans="1:19" ht="28.8" x14ac:dyDescent="0.3">
      <c r="A10" s="25">
        <v>8</v>
      </c>
      <c r="B10" s="5" t="s">
        <v>98</v>
      </c>
      <c r="C10" s="5" t="s">
        <v>8</v>
      </c>
      <c r="D10" s="5" t="s">
        <v>99</v>
      </c>
      <c r="E10" s="5" t="s">
        <v>100</v>
      </c>
      <c r="F10" s="5" t="s">
        <v>526</v>
      </c>
      <c r="G10" s="5" t="s">
        <v>101</v>
      </c>
      <c r="H10" s="5" t="s">
        <v>102</v>
      </c>
      <c r="I10" s="5" t="s">
        <v>526</v>
      </c>
      <c r="J10" s="5" t="s">
        <v>103</v>
      </c>
      <c r="K10" s="5" t="s">
        <v>104</v>
      </c>
      <c r="L10" s="5" t="s">
        <v>526</v>
      </c>
      <c r="M10" s="5" t="s">
        <v>105</v>
      </c>
      <c r="N10" s="5" t="s">
        <v>106</v>
      </c>
      <c r="O10" s="5" t="s">
        <v>526</v>
      </c>
      <c r="P10" s="5" t="s">
        <v>107</v>
      </c>
      <c r="Q10" s="5" t="s">
        <v>108</v>
      </c>
      <c r="R10" s="17" t="s">
        <v>49</v>
      </c>
      <c r="S10" s="2" t="s">
        <v>8</v>
      </c>
    </row>
    <row r="11" spans="1:19" ht="244.8" customHeight="1" x14ac:dyDescent="0.3">
      <c r="A11" s="25">
        <v>9</v>
      </c>
      <c r="B11" s="5" t="s">
        <v>109</v>
      </c>
      <c r="C11" s="5" t="s">
        <v>110</v>
      </c>
      <c r="D11" s="5" t="s">
        <v>111</v>
      </c>
      <c r="E11" s="5" t="s">
        <v>112</v>
      </c>
      <c r="F11" s="5" t="s">
        <v>110</v>
      </c>
      <c r="G11" s="5" t="s">
        <v>113</v>
      </c>
      <c r="H11" s="5" t="s">
        <v>114</v>
      </c>
      <c r="I11" s="5" t="s">
        <v>110</v>
      </c>
      <c r="J11" s="5" t="s">
        <v>115</v>
      </c>
      <c r="K11" s="5" t="s">
        <v>116</v>
      </c>
      <c r="L11" s="5" t="s">
        <v>110</v>
      </c>
      <c r="M11" s="5" t="s">
        <v>117</v>
      </c>
      <c r="N11" s="5" t="s">
        <v>118</v>
      </c>
      <c r="O11" s="5" t="s">
        <v>110</v>
      </c>
      <c r="P11" s="5" t="s">
        <v>119</v>
      </c>
      <c r="Q11" s="5" t="s">
        <v>120</v>
      </c>
      <c r="R11" s="17" t="s">
        <v>49</v>
      </c>
      <c r="S11" s="2" t="s">
        <v>8</v>
      </c>
    </row>
    <row r="12" spans="1:19" ht="187.2" customHeight="1" x14ac:dyDescent="0.3">
      <c r="A12" s="25">
        <v>10</v>
      </c>
      <c r="B12" s="5" t="s">
        <v>121</v>
      </c>
      <c r="C12" s="5" t="s">
        <v>122</v>
      </c>
      <c r="D12" s="5" t="s">
        <v>123</v>
      </c>
      <c r="E12" s="5" t="s">
        <v>124</v>
      </c>
      <c r="F12" s="5" t="s">
        <v>122</v>
      </c>
      <c r="G12" s="5" t="s">
        <v>125</v>
      </c>
      <c r="H12" s="5" t="s">
        <v>126</v>
      </c>
      <c r="I12" s="5" t="s">
        <v>122</v>
      </c>
      <c r="J12" s="5" t="s">
        <v>127</v>
      </c>
      <c r="K12" s="5" t="s">
        <v>128</v>
      </c>
      <c r="L12" s="5" t="s">
        <v>122</v>
      </c>
      <c r="M12" s="5" t="s">
        <v>129</v>
      </c>
      <c r="N12" s="5" t="s">
        <v>130</v>
      </c>
      <c r="O12" s="5" t="s">
        <v>122</v>
      </c>
      <c r="P12" s="5" t="s">
        <v>131</v>
      </c>
      <c r="Q12" s="5" t="s">
        <v>132</v>
      </c>
      <c r="R12" s="17" t="s">
        <v>24</v>
      </c>
      <c r="S12" s="2" t="s">
        <v>8</v>
      </c>
    </row>
    <row r="13" spans="1:19" ht="216" customHeight="1" x14ac:dyDescent="0.3">
      <c r="A13" s="25">
        <v>11</v>
      </c>
      <c r="B13" s="5" t="s">
        <v>133</v>
      </c>
      <c r="C13" s="5" t="s">
        <v>134</v>
      </c>
      <c r="D13" s="5" t="s">
        <v>135</v>
      </c>
      <c r="E13" s="5" t="s">
        <v>136</v>
      </c>
      <c r="F13" s="5" t="s">
        <v>134</v>
      </c>
      <c r="G13" s="5" t="s">
        <v>137</v>
      </c>
      <c r="H13" s="5" t="s">
        <v>138</v>
      </c>
      <c r="I13" s="5" t="s">
        <v>134</v>
      </c>
      <c r="J13" s="5" t="s">
        <v>139</v>
      </c>
      <c r="K13" s="5" t="s">
        <v>140</v>
      </c>
      <c r="L13" s="5" t="s">
        <v>134</v>
      </c>
      <c r="M13" s="5" t="s">
        <v>141</v>
      </c>
      <c r="N13" s="5" t="s">
        <v>142</v>
      </c>
      <c r="O13" s="5" t="s">
        <v>134</v>
      </c>
      <c r="P13" s="5" t="s">
        <v>143</v>
      </c>
      <c r="Q13" s="5" t="s">
        <v>144</v>
      </c>
      <c r="R13" s="17" t="s">
        <v>49</v>
      </c>
      <c r="S13" s="2" t="s">
        <v>8</v>
      </c>
    </row>
    <row r="14" spans="1:19" ht="28.8" x14ac:dyDescent="0.3">
      <c r="A14" s="25">
        <v>12</v>
      </c>
      <c r="B14" s="5" t="s">
        <v>145</v>
      </c>
      <c r="C14" s="5" t="s">
        <v>8</v>
      </c>
      <c r="D14" s="5" t="s">
        <v>146</v>
      </c>
      <c r="E14" s="5" t="s">
        <v>147</v>
      </c>
      <c r="F14" s="5" t="s">
        <v>523</v>
      </c>
      <c r="G14" s="5" t="s">
        <v>148</v>
      </c>
      <c r="H14" s="5" t="s">
        <v>149</v>
      </c>
      <c r="I14" s="5" t="s">
        <v>523</v>
      </c>
      <c r="J14" s="5" t="s">
        <v>150</v>
      </c>
      <c r="K14" s="5" t="s">
        <v>151</v>
      </c>
      <c r="L14" s="5" t="s">
        <v>523</v>
      </c>
      <c r="M14" s="5" t="s">
        <v>152</v>
      </c>
      <c r="N14" s="5" t="s">
        <v>153</v>
      </c>
      <c r="O14" s="5" t="s">
        <v>523</v>
      </c>
      <c r="P14" s="5" t="s">
        <v>154</v>
      </c>
      <c r="Q14" s="5" t="s">
        <v>155</v>
      </c>
      <c r="R14" s="17" t="s">
        <v>24</v>
      </c>
      <c r="S14" s="2" t="s">
        <v>8</v>
      </c>
    </row>
    <row r="15" spans="1:19" ht="244.8" customHeight="1" x14ac:dyDescent="0.3">
      <c r="A15" s="25">
        <v>13</v>
      </c>
      <c r="B15" s="5" t="s">
        <v>156</v>
      </c>
      <c r="C15" s="5" t="s">
        <v>157</v>
      </c>
      <c r="D15" s="5" t="s">
        <v>158</v>
      </c>
      <c r="E15" s="5" t="s">
        <v>159</v>
      </c>
      <c r="F15" s="5" t="s">
        <v>157</v>
      </c>
      <c r="G15" s="5" t="s">
        <v>160</v>
      </c>
      <c r="H15" s="5" t="s">
        <v>161</v>
      </c>
      <c r="I15" s="5" t="s">
        <v>157</v>
      </c>
      <c r="J15" s="5" t="s">
        <v>162</v>
      </c>
      <c r="K15" s="5" t="s">
        <v>163</v>
      </c>
      <c r="L15" s="5" t="s">
        <v>157</v>
      </c>
      <c r="M15" s="5" t="s">
        <v>164</v>
      </c>
      <c r="N15" s="5" t="s">
        <v>165</v>
      </c>
      <c r="O15" s="5" t="s">
        <v>157</v>
      </c>
      <c r="P15" s="5" t="s">
        <v>166</v>
      </c>
      <c r="Q15" s="5" t="s">
        <v>167</v>
      </c>
      <c r="R15" s="17" t="s">
        <v>49</v>
      </c>
      <c r="S15" s="2" t="s">
        <v>8</v>
      </c>
    </row>
    <row r="16" spans="1:19" ht="288" customHeight="1" x14ac:dyDescent="0.3">
      <c r="A16" s="25">
        <v>14</v>
      </c>
      <c r="B16" s="5" t="s">
        <v>168</v>
      </c>
      <c r="C16" s="5" t="s">
        <v>169</v>
      </c>
      <c r="D16" s="5" t="s">
        <v>170</v>
      </c>
      <c r="E16" s="5" t="s">
        <v>171</v>
      </c>
      <c r="F16" s="5" t="s">
        <v>169</v>
      </c>
      <c r="G16" s="5" t="s">
        <v>172</v>
      </c>
      <c r="H16" s="5" t="s">
        <v>173</v>
      </c>
      <c r="I16" s="5" t="s">
        <v>169</v>
      </c>
      <c r="J16" s="5" t="s">
        <v>174</v>
      </c>
      <c r="K16" s="5" t="s">
        <v>175</v>
      </c>
      <c r="L16" s="5" t="s">
        <v>169</v>
      </c>
      <c r="M16" s="5" t="s">
        <v>176</v>
      </c>
      <c r="N16" s="5" t="s">
        <v>177</v>
      </c>
      <c r="O16" s="5" t="s">
        <v>169</v>
      </c>
      <c r="P16" s="5" t="s">
        <v>178</v>
      </c>
      <c r="Q16" s="5" t="s">
        <v>179</v>
      </c>
      <c r="R16" s="17" t="s">
        <v>294</v>
      </c>
      <c r="S16" s="2" t="s">
        <v>8</v>
      </c>
    </row>
    <row r="17" spans="1:21" ht="187.2" customHeight="1" x14ac:dyDescent="0.3">
      <c r="A17" s="25">
        <v>15</v>
      </c>
      <c r="B17" s="5" t="s">
        <v>180</v>
      </c>
      <c r="C17" s="5" t="s">
        <v>181</v>
      </c>
      <c r="D17" s="5" t="s">
        <v>182</v>
      </c>
      <c r="E17" s="5" t="s">
        <v>183</v>
      </c>
      <c r="F17" s="5" t="s">
        <v>181</v>
      </c>
      <c r="G17" s="5" t="s">
        <v>184</v>
      </c>
      <c r="H17" s="5" t="s">
        <v>185</v>
      </c>
      <c r="I17" s="5" t="s">
        <v>181</v>
      </c>
      <c r="J17" s="5" t="s">
        <v>186</v>
      </c>
      <c r="K17" s="5" t="s">
        <v>187</v>
      </c>
      <c r="L17" s="5" t="s">
        <v>181</v>
      </c>
      <c r="M17" s="5" t="s">
        <v>188</v>
      </c>
      <c r="N17" s="5" t="s">
        <v>189</v>
      </c>
      <c r="O17" s="5" t="s">
        <v>181</v>
      </c>
      <c r="P17" s="5" t="s">
        <v>190</v>
      </c>
      <c r="Q17" s="5" t="s">
        <v>191</v>
      </c>
      <c r="R17" s="17" t="s">
        <v>49</v>
      </c>
      <c r="S17" s="2" t="s">
        <v>8</v>
      </c>
    </row>
    <row r="18" spans="1:21" ht="28.8" x14ac:dyDescent="0.3">
      <c r="A18" s="25">
        <v>16</v>
      </c>
      <c r="B18" s="5" t="s">
        <v>192</v>
      </c>
      <c r="C18" s="5" t="s">
        <v>522</v>
      </c>
      <c r="D18" s="5" t="s">
        <v>193</v>
      </c>
      <c r="E18" s="5" t="s">
        <v>194</v>
      </c>
      <c r="F18" s="5" t="s">
        <v>522</v>
      </c>
      <c r="G18" s="5" t="s">
        <v>195</v>
      </c>
      <c r="H18" s="5" t="s">
        <v>196</v>
      </c>
      <c r="I18" s="5" t="s">
        <v>522</v>
      </c>
      <c r="J18" s="5" t="s">
        <v>197</v>
      </c>
      <c r="K18" s="5" t="s">
        <v>198</v>
      </c>
      <c r="L18" s="5" t="s">
        <v>522</v>
      </c>
      <c r="M18" s="5" t="s">
        <v>199</v>
      </c>
      <c r="N18" s="5" t="s">
        <v>200</v>
      </c>
      <c r="O18" s="5" t="s">
        <v>522</v>
      </c>
      <c r="P18" s="5" t="s">
        <v>201</v>
      </c>
      <c r="Q18" s="5" t="s">
        <v>202</v>
      </c>
      <c r="R18" s="17" t="s">
        <v>49</v>
      </c>
      <c r="S18" s="2" t="s">
        <v>8</v>
      </c>
    </row>
    <row r="19" spans="1:21" ht="28.8" x14ac:dyDescent="0.3">
      <c r="A19" s="25">
        <v>17</v>
      </c>
      <c r="B19" s="5" t="s">
        <v>203</v>
      </c>
      <c r="C19" s="5" t="s">
        <v>523</v>
      </c>
      <c r="D19" s="5" t="s">
        <v>204</v>
      </c>
      <c r="E19" s="5" t="s">
        <v>205</v>
      </c>
      <c r="F19" s="5" t="s">
        <v>523</v>
      </c>
      <c r="G19" s="5" t="s">
        <v>206</v>
      </c>
      <c r="H19" s="5" t="s">
        <v>207</v>
      </c>
      <c r="I19" s="5" t="s">
        <v>523</v>
      </c>
      <c r="J19" s="5" t="s">
        <v>208</v>
      </c>
      <c r="K19" s="5" t="s">
        <v>209</v>
      </c>
      <c r="L19" s="5" t="s">
        <v>523</v>
      </c>
      <c r="M19" s="5" t="s">
        <v>210</v>
      </c>
      <c r="N19" s="5" t="s">
        <v>211</v>
      </c>
      <c r="O19" s="5" t="s">
        <v>523</v>
      </c>
      <c r="P19" s="5" t="s">
        <v>212</v>
      </c>
      <c r="Q19" s="5" t="s">
        <v>213</v>
      </c>
      <c r="R19" s="17" t="s">
        <v>49</v>
      </c>
      <c r="S19" s="2" t="s">
        <v>8</v>
      </c>
    </row>
    <row r="20" spans="1:21" ht="28.8" x14ac:dyDescent="0.3">
      <c r="A20" s="25">
        <v>18</v>
      </c>
      <c r="B20" s="5" t="s">
        <v>214</v>
      </c>
      <c r="C20" s="5" t="s">
        <v>524</v>
      </c>
      <c r="D20" s="5" t="s">
        <v>215</v>
      </c>
      <c r="E20" s="5" t="s">
        <v>216</v>
      </c>
      <c r="F20" s="5" t="s">
        <v>524</v>
      </c>
      <c r="G20" s="5" t="s">
        <v>217</v>
      </c>
      <c r="H20" s="5" t="s">
        <v>218</v>
      </c>
      <c r="I20" s="5" t="s">
        <v>524</v>
      </c>
      <c r="J20" s="5" t="s">
        <v>219</v>
      </c>
      <c r="K20" s="5" t="s">
        <v>220</v>
      </c>
      <c r="L20" s="5" t="s">
        <v>524</v>
      </c>
      <c r="M20" s="5" t="s">
        <v>221</v>
      </c>
      <c r="N20" s="5" t="s">
        <v>222</v>
      </c>
      <c r="O20" s="5" t="s">
        <v>524</v>
      </c>
      <c r="P20" s="5" t="s">
        <v>223</v>
      </c>
      <c r="Q20" s="5" t="s">
        <v>224</v>
      </c>
      <c r="R20" s="17" t="s">
        <v>24</v>
      </c>
      <c r="S20" s="2" t="s">
        <v>8</v>
      </c>
    </row>
    <row r="21" spans="1:21" ht="28.8" x14ac:dyDescent="0.3">
      <c r="A21" s="25">
        <v>19</v>
      </c>
      <c r="B21" s="5" t="s">
        <v>225</v>
      </c>
      <c r="C21" s="5" t="s">
        <v>525</v>
      </c>
      <c r="D21" s="5" t="s">
        <v>226</v>
      </c>
      <c r="E21" s="5" t="s">
        <v>227</v>
      </c>
      <c r="F21" s="5" t="s">
        <v>525</v>
      </c>
      <c r="G21" s="5" t="s">
        <v>228</v>
      </c>
      <c r="H21" s="5" t="s">
        <v>229</v>
      </c>
      <c r="I21" s="5" t="s">
        <v>525</v>
      </c>
      <c r="J21" s="5" t="s">
        <v>230</v>
      </c>
      <c r="K21" s="5" t="s">
        <v>231</v>
      </c>
      <c r="L21" s="5" t="s">
        <v>525</v>
      </c>
      <c r="M21" s="5" t="s">
        <v>232</v>
      </c>
      <c r="N21" s="5" t="s">
        <v>233</v>
      </c>
      <c r="O21" s="5" t="s">
        <v>525</v>
      </c>
      <c r="P21" s="5" t="s">
        <v>234</v>
      </c>
      <c r="Q21" s="5" t="s">
        <v>235</v>
      </c>
      <c r="R21" s="17" t="s">
        <v>24</v>
      </c>
      <c r="S21" s="2" t="s">
        <v>8</v>
      </c>
    </row>
    <row r="22" spans="1:21" ht="28.8" x14ac:dyDescent="0.3">
      <c r="A22" s="25">
        <v>20</v>
      </c>
      <c r="B22" s="5" t="s">
        <v>236</v>
      </c>
      <c r="C22" s="5" t="s">
        <v>525</v>
      </c>
      <c r="D22" s="5" t="s">
        <v>237</v>
      </c>
      <c r="E22" s="5" t="s">
        <v>238</v>
      </c>
      <c r="F22" s="5" t="s">
        <v>525</v>
      </c>
      <c r="G22" s="5" t="s">
        <v>239</v>
      </c>
      <c r="H22" s="5" t="s">
        <v>240</v>
      </c>
      <c r="I22" s="5" t="s">
        <v>525</v>
      </c>
      <c r="J22" s="5" t="s">
        <v>241</v>
      </c>
      <c r="K22" s="5" t="s">
        <v>242</v>
      </c>
      <c r="L22" s="5" t="s">
        <v>525</v>
      </c>
      <c r="M22" s="5" t="s">
        <v>243</v>
      </c>
      <c r="N22" s="5" t="s">
        <v>244</v>
      </c>
      <c r="O22" s="5" t="s">
        <v>525</v>
      </c>
      <c r="P22" s="5" t="s">
        <v>245</v>
      </c>
      <c r="Q22" s="5" t="s">
        <v>246</v>
      </c>
      <c r="R22" s="17" t="s">
        <v>49</v>
      </c>
      <c r="S22" s="2" t="s">
        <v>8</v>
      </c>
    </row>
    <row r="23" spans="1:21" ht="28.8" x14ac:dyDescent="0.3">
      <c r="A23" s="25">
        <v>21</v>
      </c>
      <c r="B23" s="5" t="s">
        <v>247</v>
      </c>
      <c r="C23" s="5" t="s">
        <v>524</v>
      </c>
      <c r="D23" s="5" t="s">
        <v>248</v>
      </c>
      <c r="E23" s="5" t="s">
        <v>249</v>
      </c>
      <c r="F23" s="5" t="s">
        <v>524</v>
      </c>
      <c r="G23" s="5" t="s">
        <v>250</v>
      </c>
      <c r="H23" s="5" t="s">
        <v>251</v>
      </c>
      <c r="I23" s="5" t="s">
        <v>524</v>
      </c>
      <c r="J23" s="5" t="s">
        <v>252</v>
      </c>
      <c r="K23" s="5" t="s">
        <v>253</v>
      </c>
      <c r="L23" s="5" t="s">
        <v>524</v>
      </c>
      <c r="M23" s="5" t="s">
        <v>254</v>
      </c>
      <c r="N23" s="5" t="s">
        <v>255</v>
      </c>
      <c r="O23" s="5" t="s">
        <v>524</v>
      </c>
      <c r="P23" s="5" t="s">
        <v>256</v>
      </c>
      <c r="Q23" s="5" t="s">
        <v>257</v>
      </c>
      <c r="R23" s="17" t="s">
        <v>49</v>
      </c>
      <c r="S23" s="2" t="s">
        <v>8</v>
      </c>
      <c r="T23" s="22" t="s">
        <v>258</v>
      </c>
      <c r="U23" s="23"/>
    </row>
    <row r="24" spans="1:21" ht="28.8" x14ac:dyDescent="0.3">
      <c r="A24" s="25">
        <v>22</v>
      </c>
      <c r="B24" s="5" t="s">
        <v>259</v>
      </c>
      <c r="C24" s="5" t="s">
        <v>524</v>
      </c>
      <c r="D24" s="5" t="s">
        <v>260</v>
      </c>
      <c r="E24" s="5" t="s">
        <v>261</v>
      </c>
      <c r="F24" s="5" t="s">
        <v>524</v>
      </c>
      <c r="G24" s="5" t="s">
        <v>262</v>
      </c>
      <c r="H24" s="5" t="s">
        <v>263</v>
      </c>
      <c r="I24" s="5" t="s">
        <v>524</v>
      </c>
      <c r="J24" s="5" t="s">
        <v>264</v>
      </c>
      <c r="K24" s="5" t="s">
        <v>265</v>
      </c>
      <c r="L24" s="5" t="s">
        <v>524</v>
      </c>
      <c r="M24" s="5" t="s">
        <v>266</v>
      </c>
      <c r="N24" s="5" t="s">
        <v>267</v>
      </c>
      <c r="O24" s="5" t="s">
        <v>524</v>
      </c>
      <c r="P24" s="5" t="s">
        <v>268</v>
      </c>
      <c r="Q24" s="5" t="s">
        <v>269</v>
      </c>
      <c r="R24" s="17" t="s">
        <v>49</v>
      </c>
      <c r="S24" s="2" t="s">
        <v>8</v>
      </c>
      <c r="T24" s="21" t="s">
        <v>24</v>
      </c>
      <c r="U24" s="21" t="s">
        <v>270</v>
      </c>
    </row>
    <row r="25" spans="1:21" ht="28.8" x14ac:dyDescent="0.3">
      <c r="A25" s="25">
        <v>23</v>
      </c>
      <c r="B25" s="5" t="s">
        <v>271</v>
      </c>
      <c r="C25" s="5" t="s">
        <v>526</v>
      </c>
      <c r="D25" s="5" t="s">
        <v>272</v>
      </c>
      <c r="E25" s="5" t="s">
        <v>273</v>
      </c>
      <c r="F25" s="5" t="s">
        <v>526</v>
      </c>
      <c r="G25" s="5" t="s">
        <v>274</v>
      </c>
      <c r="H25" s="5" t="s">
        <v>275</v>
      </c>
      <c r="I25" s="5" t="s">
        <v>526</v>
      </c>
      <c r="J25" s="5" t="s">
        <v>276</v>
      </c>
      <c r="K25" s="5" t="s">
        <v>277</v>
      </c>
      <c r="L25" s="5" t="s">
        <v>526</v>
      </c>
      <c r="M25" s="5" t="s">
        <v>278</v>
      </c>
      <c r="N25" s="5" t="s">
        <v>279</v>
      </c>
      <c r="O25" s="5" t="s">
        <v>526</v>
      </c>
      <c r="P25" s="5" t="s">
        <v>280</v>
      </c>
      <c r="Q25" s="5" t="s">
        <v>281</v>
      </c>
      <c r="R25" s="17" t="s">
        <v>24</v>
      </c>
      <c r="S25" s="2" t="s">
        <v>8</v>
      </c>
      <c r="T25" s="19" t="s">
        <v>49</v>
      </c>
      <c r="U25" s="19" t="s">
        <v>282</v>
      </c>
    </row>
    <row r="26" spans="1:21" ht="28.8" x14ac:dyDescent="0.3">
      <c r="A26" s="25">
        <v>24</v>
      </c>
      <c r="B26" s="5" t="s">
        <v>283</v>
      </c>
      <c r="C26" s="5" t="s">
        <v>525</v>
      </c>
      <c r="D26" s="5" t="s">
        <v>284</v>
      </c>
      <c r="E26" s="5" t="s">
        <v>285</v>
      </c>
      <c r="F26" s="5" t="s">
        <v>525</v>
      </c>
      <c r="G26" s="5" t="s">
        <v>286</v>
      </c>
      <c r="H26" s="5" t="s">
        <v>287</v>
      </c>
      <c r="I26" s="5" t="s">
        <v>525</v>
      </c>
      <c r="J26" s="5" t="s">
        <v>288</v>
      </c>
      <c r="K26" s="5" t="s">
        <v>289</v>
      </c>
      <c r="L26" s="5" t="s">
        <v>525</v>
      </c>
      <c r="M26" s="5" t="s">
        <v>290</v>
      </c>
      <c r="N26" s="5" t="s">
        <v>291</v>
      </c>
      <c r="O26" s="5" t="s">
        <v>525</v>
      </c>
      <c r="P26" s="5" t="s">
        <v>292</v>
      </c>
      <c r="Q26" s="5" t="s">
        <v>293</v>
      </c>
      <c r="R26" s="17" t="s">
        <v>24</v>
      </c>
      <c r="S26" s="2" t="s">
        <v>8</v>
      </c>
      <c r="T26" s="20" t="s">
        <v>294</v>
      </c>
      <c r="U26" s="20" t="s">
        <v>295</v>
      </c>
    </row>
    <row r="27" spans="1:21" ht="28.8" x14ac:dyDescent="0.3">
      <c r="A27" s="25">
        <v>25</v>
      </c>
      <c r="B27" s="5" t="s">
        <v>296</v>
      </c>
      <c r="C27" s="5" t="s">
        <v>523</v>
      </c>
      <c r="D27" s="5" t="s">
        <v>297</v>
      </c>
      <c r="E27" s="5" t="s">
        <v>298</v>
      </c>
      <c r="F27" s="5" t="s">
        <v>523</v>
      </c>
      <c r="G27" s="5" t="s">
        <v>299</v>
      </c>
      <c r="H27" s="5" t="s">
        <v>300</v>
      </c>
      <c r="I27" s="5" t="s">
        <v>523</v>
      </c>
      <c r="J27" s="5" t="s">
        <v>301</v>
      </c>
      <c r="K27" s="5" t="s">
        <v>302</v>
      </c>
      <c r="L27" s="5" t="s">
        <v>523</v>
      </c>
      <c r="M27" s="5" t="s">
        <v>303</v>
      </c>
      <c r="N27" s="5" t="s">
        <v>304</v>
      </c>
      <c r="O27" s="5" t="s">
        <v>523</v>
      </c>
      <c r="P27" s="5" t="s">
        <v>305</v>
      </c>
      <c r="Q27" s="5" t="s">
        <v>306</v>
      </c>
      <c r="R27" s="17" t="s">
        <v>49</v>
      </c>
      <c r="S27" s="2" t="s">
        <v>8</v>
      </c>
    </row>
    <row r="28" spans="1:21" ht="28.8" x14ac:dyDescent="0.3">
      <c r="A28" s="25">
        <v>26</v>
      </c>
      <c r="B28" s="5" t="s">
        <v>307</v>
      </c>
      <c r="C28" s="5" t="s">
        <v>525</v>
      </c>
      <c r="D28" s="5" t="s">
        <v>308</v>
      </c>
      <c r="E28" s="5" t="s">
        <v>309</v>
      </c>
      <c r="F28" s="5" t="s">
        <v>525</v>
      </c>
      <c r="G28" s="5" t="s">
        <v>310</v>
      </c>
      <c r="H28" s="5" t="s">
        <v>311</v>
      </c>
      <c r="I28" s="5" t="s">
        <v>525</v>
      </c>
      <c r="J28" s="5" t="s">
        <v>312</v>
      </c>
      <c r="K28" s="5" t="s">
        <v>313</v>
      </c>
      <c r="L28" s="5" t="s">
        <v>525</v>
      </c>
      <c r="M28" s="5" t="s">
        <v>314</v>
      </c>
      <c r="N28" s="5" t="s">
        <v>315</v>
      </c>
      <c r="O28" s="5" t="s">
        <v>525</v>
      </c>
      <c r="P28" s="5" t="s">
        <v>316</v>
      </c>
      <c r="Q28" s="5" t="s">
        <v>317</v>
      </c>
      <c r="R28" s="17" t="s">
        <v>49</v>
      </c>
      <c r="S28" s="2" t="s">
        <v>8</v>
      </c>
    </row>
    <row r="29" spans="1:21" ht="57.6" customHeight="1" x14ac:dyDescent="0.3">
      <c r="A29" s="25">
        <v>27</v>
      </c>
      <c r="B29" s="5" t="s">
        <v>318</v>
      </c>
      <c r="C29" s="5" t="s">
        <v>319</v>
      </c>
      <c r="D29" s="5" t="s">
        <v>320</v>
      </c>
      <c r="E29" s="5" t="s">
        <v>321</v>
      </c>
      <c r="F29" s="5" t="s">
        <v>319</v>
      </c>
      <c r="G29" s="5" t="s">
        <v>322</v>
      </c>
      <c r="H29" s="5" t="s">
        <v>323</v>
      </c>
      <c r="I29" s="5" t="s">
        <v>319</v>
      </c>
      <c r="J29" s="5" t="s">
        <v>324</v>
      </c>
      <c r="K29" s="5" t="s">
        <v>325</v>
      </c>
      <c r="L29" s="5" t="s">
        <v>319</v>
      </c>
      <c r="M29" s="5" t="s">
        <v>326</v>
      </c>
      <c r="N29" s="5" t="s">
        <v>327</v>
      </c>
      <c r="O29" s="5" t="s">
        <v>319</v>
      </c>
      <c r="P29" s="5" t="s">
        <v>328</v>
      </c>
      <c r="Q29" s="5" t="s">
        <v>329</v>
      </c>
      <c r="R29" s="17" t="s">
        <v>49</v>
      </c>
      <c r="S29" s="2" t="s">
        <v>8</v>
      </c>
    </row>
    <row r="30" spans="1:21" ht="28.8" x14ac:dyDescent="0.3">
      <c r="A30" s="25">
        <v>28</v>
      </c>
      <c r="B30" s="5" t="s">
        <v>330</v>
      </c>
      <c r="C30" s="5" t="s">
        <v>524</v>
      </c>
      <c r="D30" s="5" t="s">
        <v>331</v>
      </c>
      <c r="E30" s="5" t="s">
        <v>332</v>
      </c>
      <c r="F30" s="5" t="s">
        <v>524</v>
      </c>
      <c r="G30" s="5" t="s">
        <v>333</v>
      </c>
      <c r="H30" s="5" t="s">
        <v>334</v>
      </c>
      <c r="I30" s="5" t="s">
        <v>524</v>
      </c>
      <c r="J30" s="5" t="s">
        <v>335</v>
      </c>
      <c r="K30" s="5" t="s">
        <v>336</v>
      </c>
      <c r="L30" s="5" t="s">
        <v>524</v>
      </c>
      <c r="M30" s="5" t="s">
        <v>337</v>
      </c>
      <c r="N30" s="5" t="s">
        <v>338</v>
      </c>
      <c r="O30" s="5" t="s">
        <v>524</v>
      </c>
      <c r="P30" s="5" t="s">
        <v>339</v>
      </c>
      <c r="Q30" s="5" t="s">
        <v>340</v>
      </c>
      <c r="R30" s="17" t="s">
        <v>49</v>
      </c>
      <c r="S30" s="2" t="s">
        <v>8</v>
      </c>
    </row>
    <row r="31" spans="1:21" ht="28.8" x14ac:dyDescent="0.3">
      <c r="A31" s="25">
        <v>29</v>
      </c>
      <c r="B31" s="5" t="s">
        <v>341</v>
      </c>
      <c r="C31" s="5" t="s">
        <v>526</v>
      </c>
      <c r="D31" s="5" t="s">
        <v>342</v>
      </c>
      <c r="E31" s="5" t="s">
        <v>343</v>
      </c>
      <c r="F31" s="5" t="s">
        <v>526</v>
      </c>
      <c r="G31" s="5" t="s">
        <v>344</v>
      </c>
      <c r="H31" s="5" t="s">
        <v>345</v>
      </c>
      <c r="I31" s="5" t="s">
        <v>526</v>
      </c>
      <c r="J31" s="5" t="s">
        <v>346</v>
      </c>
      <c r="K31" s="5" t="s">
        <v>347</v>
      </c>
      <c r="L31" s="5" t="s">
        <v>526</v>
      </c>
      <c r="M31" s="5" t="s">
        <v>348</v>
      </c>
      <c r="N31" s="5" t="s">
        <v>349</v>
      </c>
      <c r="O31" s="5" t="s">
        <v>526</v>
      </c>
      <c r="P31" s="5" t="s">
        <v>350</v>
      </c>
      <c r="Q31" s="5" t="s">
        <v>351</v>
      </c>
      <c r="R31" s="17" t="s">
        <v>49</v>
      </c>
      <c r="S31" s="2" t="s">
        <v>8</v>
      </c>
    </row>
    <row r="32" spans="1:21" ht="72" customHeight="1" x14ac:dyDescent="0.3">
      <c r="A32" s="25">
        <v>30</v>
      </c>
      <c r="B32" s="5" t="s">
        <v>352</v>
      </c>
      <c r="C32" s="5" t="s">
        <v>353</v>
      </c>
      <c r="D32" s="5" t="s">
        <v>354</v>
      </c>
      <c r="E32" s="5" t="s">
        <v>355</v>
      </c>
      <c r="F32" s="5" t="s">
        <v>353</v>
      </c>
      <c r="G32" s="5" t="s">
        <v>356</v>
      </c>
      <c r="H32" s="5" t="s">
        <v>357</v>
      </c>
      <c r="I32" s="5" t="s">
        <v>353</v>
      </c>
      <c r="J32" s="5" t="s">
        <v>358</v>
      </c>
      <c r="K32" s="5" t="s">
        <v>359</v>
      </c>
      <c r="L32" s="5" t="s">
        <v>353</v>
      </c>
      <c r="M32" s="5" t="s">
        <v>360</v>
      </c>
      <c r="N32" s="5" t="s">
        <v>361</v>
      </c>
      <c r="O32" s="5" t="s">
        <v>353</v>
      </c>
      <c r="P32" s="5" t="s">
        <v>362</v>
      </c>
      <c r="Q32" s="5" t="s">
        <v>363</v>
      </c>
      <c r="R32" s="17" t="s">
        <v>49</v>
      </c>
      <c r="S32" s="2" t="s">
        <v>8</v>
      </c>
    </row>
    <row r="33" spans="1:19" ht="28.8" x14ac:dyDescent="0.3">
      <c r="A33" s="25">
        <v>31</v>
      </c>
      <c r="B33" s="5" t="s">
        <v>364</v>
      </c>
      <c r="C33" s="5" t="s">
        <v>524</v>
      </c>
      <c r="D33" s="5" t="s">
        <v>365</v>
      </c>
      <c r="E33" s="5" t="s">
        <v>366</v>
      </c>
      <c r="F33" s="5" t="s">
        <v>524</v>
      </c>
      <c r="G33" s="5" t="s">
        <v>367</v>
      </c>
      <c r="H33" s="5" t="s">
        <v>368</v>
      </c>
      <c r="I33" s="5" t="s">
        <v>524</v>
      </c>
      <c r="J33" s="5" t="s">
        <v>369</v>
      </c>
      <c r="K33" s="5" t="s">
        <v>370</v>
      </c>
      <c r="L33" s="5" t="s">
        <v>524</v>
      </c>
      <c r="M33" s="5" t="s">
        <v>371</v>
      </c>
      <c r="N33" s="5" t="s">
        <v>372</v>
      </c>
      <c r="O33" s="5" t="s">
        <v>524</v>
      </c>
      <c r="P33" s="5" t="s">
        <v>373</v>
      </c>
      <c r="Q33" s="5" t="s">
        <v>374</v>
      </c>
      <c r="R33" s="17" t="s">
        <v>49</v>
      </c>
      <c r="S33" s="2" t="s">
        <v>8</v>
      </c>
    </row>
    <row r="34" spans="1:19" ht="28.8" x14ac:dyDescent="0.3">
      <c r="A34" s="25">
        <v>32</v>
      </c>
      <c r="B34" s="5" t="s">
        <v>375</v>
      </c>
      <c r="C34" s="5" t="s">
        <v>525</v>
      </c>
      <c r="D34" s="5" t="s">
        <v>376</v>
      </c>
      <c r="E34" s="5" t="s">
        <v>377</v>
      </c>
      <c r="F34" s="5" t="s">
        <v>525</v>
      </c>
      <c r="G34" s="5" t="s">
        <v>378</v>
      </c>
      <c r="H34" s="5" t="s">
        <v>379</v>
      </c>
      <c r="I34" s="5" t="s">
        <v>525</v>
      </c>
      <c r="J34" s="5" t="s">
        <v>380</v>
      </c>
      <c r="K34" s="5" t="s">
        <v>381</v>
      </c>
      <c r="L34" s="5" t="s">
        <v>525</v>
      </c>
      <c r="M34" s="5" t="s">
        <v>382</v>
      </c>
      <c r="N34" s="5" t="s">
        <v>383</v>
      </c>
      <c r="O34" s="5" t="s">
        <v>525</v>
      </c>
      <c r="P34" s="5" t="s">
        <v>384</v>
      </c>
      <c r="Q34" s="5" t="s">
        <v>385</v>
      </c>
      <c r="R34" s="17" t="s">
        <v>49</v>
      </c>
      <c r="S34" s="2" t="s">
        <v>8</v>
      </c>
    </row>
    <row r="35" spans="1:19" ht="28.8" x14ac:dyDescent="0.3">
      <c r="A35" s="25">
        <v>33</v>
      </c>
      <c r="B35" s="5" t="s">
        <v>386</v>
      </c>
      <c r="C35" s="5" t="s">
        <v>524</v>
      </c>
      <c r="D35" s="5" t="s">
        <v>387</v>
      </c>
      <c r="E35" s="5" t="s">
        <v>388</v>
      </c>
      <c r="F35" s="5" t="s">
        <v>524</v>
      </c>
      <c r="G35" s="5" t="s">
        <v>389</v>
      </c>
      <c r="H35" s="5" t="s">
        <v>390</v>
      </c>
      <c r="I35" s="5" t="s">
        <v>524</v>
      </c>
      <c r="J35" s="5" t="s">
        <v>391</v>
      </c>
      <c r="K35" s="5" t="s">
        <v>392</v>
      </c>
      <c r="L35" s="5" t="s">
        <v>524</v>
      </c>
      <c r="M35" s="5" t="s">
        <v>393</v>
      </c>
      <c r="N35" s="5" t="s">
        <v>394</v>
      </c>
      <c r="O35" s="5" t="s">
        <v>524</v>
      </c>
      <c r="P35" s="5" t="s">
        <v>395</v>
      </c>
      <c r="Q35" s="5" t="s">
        <v>396</v>
      </c>
      <c r="R35" s="17" t="s">
        <v>49</v>
      </c>
      <c r="S35" s="2" t="s">
        <v>8</v>
      </c>
    </row>
    <row r="36" spans="1:19" ht="28.8" x14ac:dyDescent="0.3">
      <c r="A36" s="25">
        <v>34</v>
      </c>
      <c r="B36" s="5" t="s">
        <v>397</v>
      </c>
      <c r="C36" s="5" t="s">
        <v>523</v>
      </c>
      <c r="D36" s="5" t="s">
        <v>398</v>
      </c>
      <c r="E36" s="5" t="s">
        <v>399</v>
      </c>
      <c r="F36" s="5" t="s">
        <v>523</v>
      </c>
      <c r="G36" s="5" t="s">
        <v>400</v>
      </c>
      <c r="H36" s="5" t="s">
        <v>401</v>
      </c>
      <c r="I36" s="5" t="s">
        <v>523</v>
      </c>
      <c r="J36" s="5" t="s">
        <v>402</v>
      </c>
      <c r="K36" s="5" t="s">
        <v>403</v>
      </c>
      <c r="L36" s="5" t="s">
        <v>523</v>
      </c>
      <c r="M36" s="5" t="s">
        <v>404</v>
      </c>
      <c r="N36" s="5" t="s">
        <v>405</v>
      </c>
      <c r="O36" s="5" t="s">
        <v>523</v>
      </c>
      <c r="P36" s="5" t="s">
        <v>406</v>
      </c>
      <c r="Q36" s="5" t="s">
        <v>407</v>
      </c>
      <c r="R36" s="17" t="s">
        <v>24</v>
      </c>
      <c r="S36" s="2" t="s">
        <v>8</v>
      </c>
    </row>
    <row r="37" spans="1:19" ht="57.6" customHeight="1" x14ac:dyDescent="0.3">
      <c r="A37" s="25">
        <v>35</v>
      </c>
      <c r="B37" s="5" t="s">
        <v>408</v>
      </c>
      <c r="C37" s="5" t="s">
        <v>409</v>
      </c>
      <c r="D37" s="5" t="s">
        <v>410</v>
      </c>
      <c r="E37" s="5" t="s">
        <v>411</v>
      </c>
      <c r="F37" s="5" t="s">
        <v>409</v>
      </c>
      <c r="G37" s="5" t="s">
        <v>412</v>
      </c>
      <c r="H37" s="5" t="s">
        <v>413</v>
      </c>
      <c r="I37" s="5" t="s">
        <v>409</v>
      </c>
      <c r="J37" s="5" t="s">
        <v>414</v>
      </c>
      <c r="K37" s="5" t="s">
        <v>415</v>
      </c>
      <c r="L37" s="5" t="s">
        <v>409</v>
      </c>
      <c r="M37" s="5" t="s">
        <v>416</v>
      </c>
      <c r="N37" s="5" t="s">
        <v>417</v>
      </c>
      <c r="O37" s="5" t="s">
        <v>409</v>
      </c>
      <c r="P37" s="5" t="s">
        <v>418</v>
      </c>
      <c r="Q37" s="5" t="s">
        <v>419</v>
      </c>
      <c r="R37" s="17" t="s">
        <v>49</v>
      </c>
      <c r="S37" s="2" t="s">
        <v>8</v>
      </c>
    </row>
    <row r="38" spans="1:19" ht="28.8" x14ac:dyDescent="0.3">
      <c r="A38" s="25">
        <v>36</v>
      </c>
      <c r="B38" s="5" t="s">
        <v>420</v>
      </c>
      <c r="C38" s="12" t="s">
        <v>526</v>
      </c>
      <c r="D38" s="5" t="s">
        <v>421</v>
      </c>
      <c r="E38" s="5" t="s">
        <v>422</v>
      </c>
      <c r="F38" s="5" t="s">
        <v>526</v>
      </c>
      <c r="G38" s="5" t="s">
        <v>423</v>
      </c>
      <c r="H38" s="5" t="s">
        <v>424</v>
      </c>
      <c r="I38" s="5" t="s">
        <v>526</v>
      </c>
      <c r="J38" s="5" t="s">
        <v>425</v>
      </c>
      <c r="K38" s="5" t="s">
        <v>426</v>
      </c>
      <c r="L38" s="5" t="s">
        <v>526</v>
      </c>
      <c r="M38" s="5" t="s">
        <v>427</v>
      </c>
      <c r="N38" s="5" t="s">
        <v>428</v>
      </c>
      <c r="O38" s="5" t="s">
        <v>526</v>
      </c>
      <c r="P38" s="5" t="s">
        <v>429</v>
      </c>
      <c r="Q38" s="5" t="s">
        <v>430</v>
      </c>
      <c r="R38" s="17" t="s">
        <v>49</v>
      </c>
      <c r="S38" s="2" t="s">
        <v>8</v>
      </c>
    </row>
    <row r="39" spans="1:19" ht="28.8" x14ac:dyDescent="0.3">
      <c r="A39" s="25">
        <v>37</v>
      </c>
      <c r="B39" s="5" t="s">
        <v>431</v>
      </c>
      <c r="C39" s="12" t="s">
        <v>525</v>
      </c>
      <c r="D39" s="5" t="s">
        <v>432</v>
      </c>
      <c r="E39" s="5" t="s">
        <v>433</v>
      </c>
      <c r="F39" s="5" t="s">
        <v>525</v>
      </c>
      <c r="G39" s="5" t="s">
        <v>434</v>
      </c>
      <c r="H39" s="5" t="s">
        <v>435</v>
      </c>
      <c r="I39" s="5" t="s">
        <v>525</v>
      </c>
      <c r="J39" s="5" t="s">
        <v>436</v>
      </c>
      <c r="K39" s="5" t="s">
        <v>437</v>
      </c>
      <c r="L39" s="5" t="s">
        <v>525</v>
      </c>
      <c r="M39" s="5" t="s">
        <v>438</v>
      </c>
      <c r="N39" s="5" t="s">
        <v>439</v>
      </c>
      <c r="O39" s="5" t="s">
        <v>525</v>
      </c>
      <c r="P39" s="5" t="s">
        <v>440</v>
      </c>
      <c r="Q39" s="5" t="s">
        <v>441</v>
      </c>
      <c r="R39" s="17" t="s">
        <v>49</v>
      </c>
      <c r="S39" s="2" t="s">
        <v>8</v>
      </c>
    </row>
    <row r="40" spans="1:19" ht="28.8" x14ac:dyDescent="0.3">
      <c r="A40" s="25">
        <v>38</v>
      </c>
      <c r="B40" s="5" t="s">
        <v>442</v>
      </c>
      <c r="C40" s="12" t="s">
        <v>523</v>
      </c>
      <c r="D40" s="5" t="s">
        <v>443</v>
      </c>
      <c r="E40" s="5" t="s">
        <v>444</v>
      </c>
      <c r="F40" s="5" t="s">
        <v>523</v>
      </c>
      <c r="G40" s="5" t="s">
        <v>445</v>
      </c>
      <c r="H40" s="5" t="s">
        <v>446</v>
      </c>
      <c r="I40" s="5" t="s">
        <v>523</v>
      </c>
      <c r="J40" s="5" t="s">
        <v>447</v>
      </c>
      <c r="K40" s="5" t="s">
        <v>448</v>
      </c>
      <c r="L40" s="5" t="s">
        <v>523</v>
      </c>
      <c r="M40" s="5" t="s">
        <v>449</v>
      </c>
      <c r="N40" s="5" t="s">
        <v>450</v>
      </c>
      <c r="O40" s="5" t="s">
        <v>523</v>
      </c>
      <c r="P40" s="5" t="s">
        <v>451</v>
      </c>
      <c r="Q40" s="5" t="s">
        <v>452</v>
      </c>
      <c r="R40" s="17" t="s">
        <v>49</v>
      </c>
      <c r="S40" s="2" t="s">
        <v>8</v>
      </c>
    </row>
    <row r="41" spans="1:19" ht="28.8" x14ac:dyDescent="0.3">
      <c r="A41" s="25">
        <v>39</v>
      </c>
      <c r="B41" s="5" t="s">
        <v>453</v>
      </c>
      <c r="C41" s="12" t="s">
        <v>525</v>
      </c>
      <c r="D41" s="5" t="s">
        <v>454</v>
      </c>
      <c r="E41" s="5" t="s">
        <v>455</v>
      </c>
      <c r="F41" s="5" t="s">
        <v>525</v>
      </c>
      <c r="G41" s="5" t="s">
        <v>456</v>
      </c>
      <c r="H41" s="5" t="s">
        <v>457</v>
      </c>
      <c r="I41" s="5" t="s">
        <v>525</v>
      </c>
      <c r="J41" s="5" t="s">
        <v>458</v>
      </c>
      <c r="K41" s="5" t="s">
        <v>459</v>
      </c>
      <c r="L41" s="5" t="s">
        <v>525</v>
      </c>
      <c r="M41" s="5" t="s">
        <v>460</v>
      </c>
      <c r="N41" s="5" t="s">
        <v>461</v>
      </c>
      <c r="O41" s="5" t="s">
        <v>525</v>
      </c>
      <c r="P41" s="5" t="s">
        <v>462</v>
      </c>
      <c r="Q41" s="5" t="s">
        <v>463</v>
      </c>
      <c r="R41" s="17" t="s">
        <v>49</v>
      </c>
      <c r="S41" s="2" t="s">
        <v>8</v>
      </c>
    </row>
    <row r="42" spans="1:19" ht="28.8" x14ac:dyDescent="0.3">
      <c r="A42" s="25">
        <v>40</v>
      </c>
      <c r="B42" s="5" t="s">
        <v>464</v>
      </c>
      <c r="C42" s="12" t="s">
        <v>522</v>
      </c>
      <c r="D42" s="5" t="s">
        <v>465</v>
      </c>
      <c r="E42" s="5" t="s">
        <v>466</v>
      </c>
      <c r="F42" s="5" t="s">
        <v>522</v>
      </c>
      <c r="G42" s="5" t="s">
        <v>467</v>
      </c>
      <c r="H42" s="5" t="s">
        <v>468</v>
      </c>
      <c r="I42" s="5" t="s">
        <v>522</v>
      </c>
      <c r="J42" s="5" t="s">
        <v>469</v>
      </c>
      <c r="K42" s="5" t="s">
        <v>470</v>
      </c>
      <c r="L42" s="5" t="s">
        <v>522</v>
      </c>
      <c r="M42" s="5" t="s">
        <v>471</v>
      </c>
      <c r="N42" s="5" t="s">
        <v>472</v>
      </c>
      <c r="O42" s="5" t="s">
        <v>522</v>
      </c>
      <c r="P42" s="5" t="s">
        <v>473</v>
      </c>
      <c r="Q42" s="5" t="s">
        <v>474</v>
      </c>
      <c r="R42" s="17" t="s">
        <v>49</v>
      </c>
      <c r="S42" s="2" t="s">
        <v>8</v>
      </c>
    </row>
    <row r="43" spans="1:19" ht="43.2" x14ac:dyDescent="0.3">
      <c r="A43" s="25">
        <v>41</v>
      </c>
      <c r="B43" s="5" t="s">
        <v>475</v>
      </c>
      <c r="C43" s="12" t="s">
        <v>525</v>
      </c>
      <c r="D43" s="5" t="s">
        <v>476</v>
      </c>
      <c r="E43" s="5" t="s">
        <v>477</v>
      </c>
      <c r="F43" s="5" t="s">
        <v>525</v>
      </c>
      <c r="G43" s="5" t="s">
        <v>478</v>
      </c>
      <c r="H43" s="5" t="s">
        <v>478</v>
      </c>
      <c r="I43" s="5" t="s">
        <v>525</v>
      </c>
      <c r="J43" s="5" t="s">
        <v>478</v>
      </c>
      <c r="K43" s="5" t="s">
        <v>478</v>
      </c>
      <c r="L43" s="5" t="s">
        <v>525</v>
      </c>
      <c r="M43" s="5" t="s">
        <v>478</v>
      </c>
      <c r="N43" s="5" t="s">
        <v>478</v>
      </c>
      <c r="O43" s="5" t="s">
        <v>525</v>
      </c>
      <c r="P43" s="5" t="s">
        <v>478</v>
      </c>
      <c r="Q43" s="5" t="s">
        <v>478</v>
      </c>
      <c r="R43" s="17" t="s">
        <v>24</v>
      </c>
      <c r="S43" s="2" t="s">
        <v>8</v>
      </c>
    </row>
    <row r="44" spans="1:19" ht="28.8" x14ac:dyDescent="0.3">
      <c r="A44" s="25">
        <v>42</v>
      </c>
      <c r="B44" s="5" t="s">
        <v>479</v>
      </c>
      <c r="C44" s="12" t="s">
        <v>522</v>
      </c>
      <c r="D44" s="5" t="s">
        <v>480</v>
      </c>
      <c r="E44" s="5" t="s">
        <v>481</v>
      </c>
      <c r="F44" s="5" t="s">
        <v>522</v>
      </c>
      <c r="G44" s="5" t="s">
        <v>482</v>
      </c>
      <c r="H44" s="5" t="s">
        <v>483</v>
      </c>
      <c r="I44" s="5" t="s">
        <v>522</v>
      </c>
      <c r="J44" s="5" t="s">
        <v>484</v>
      </c>
      <c r="K44" s="5" t="s">
        <v>485</v>
      </c>
      <c r="L44" s="5" t="s">
        <v>522</v>
      </c>
      <c r="M44" s="5" t="s">
        <v>486</v>
      </c>
      <c r="N44" s="5" t="s">
        <v>487</v>
      </c>
      <c r="O44" s="5" t="s">
        <v>522</v>
      </c>
      <c r="P44" s="5" t="s">
        <v>488</v>
      </c>
      <c r="Q44" s="5" t="s">
        <v>489</v>
      </c>
      <c r="R44" s="17" t="s">
        <v>24</v>
      </c>
      <c r="S44" s="2" t="s">
        <v>8</v>
      </c>
    </row>
    <row r="45" spans="1:19" ht="28.8" x14ac:dyDescent="0.3">
      <c r="A45" s="25">
        <v>43</v>
      </c>
      <c r="B45" s="5" t="s">
        <v>490</v>
      </c>
      <c r="C45" s="12" t="s">
        <v>525</v>
      </c>
      <c r="D45" s="5" t="s">
        <v>491</v>
      </c>
      <c r="E45" s="5" t="s">
        <v>492</v>
      </c>
      <c r="F45" s="5" t="s">
        <v>525</v>
      </c>
      <c r="G45" s="5" t="s">
        <v>493</v>
      </c>
      <c r="H45" s="5" t="s">
        <v>494</v>
      </c>
      <c r="I45" s="5" t="s">
        <v>525</v>
      </c>
      <c r="J45" s="5" t="s">
        <v>495</v>
      </c>
      <c r="K45" s="5" t="s">
        <v>496</v>
      </c>
      <c r="L45" s="5" t="s">
        <v>525</v>
      </c>
      <c r="M45" s="5" t="s">
        <v>497</v>
      </c>
      <c r="N45" s="5" t="s">
        <v>498</v>
      </c>
      <c r="O45" s="5" t="s">
        <v>525</v>
      </c>
      <c r="P45" s="5" t="s">
        <v>499</v>
      </c>
      <c r="Q45" s="5" t="s">
        <v>500</v>
      </c>
      <c r="R45" s="17" t="s">
        <v>49</v>
      </c>
      <c r="S45" s="2" t="s">
        <v>8</v>
      </c>
    </row>
    <row r="46" spans="1:19" ht="28.8" x14ac:dyDescent="0.3">
      <c r="A46" s="26">
        <v>44</v>
      </c>
      <c r="B46" s="13" t="s">
        <v>501</v>
      </c>
      <c r="C46" s="14" t="s">
        <v>526</v>
      </c>
      <c r="D46" s="13" t="s">
        <v>502</v>
      </c>
      <c r="E46" s="13" t="s">
        <v>503</v>
      </c>
      <c r="F46" s="13" t="s">
        <v>526</v>
      </c>
      <c r="G46" s="13" t="s">
        <v>504</v>
      </c>
      <c r="H46" s="13" t="s">
        <v>505</v>
      </c>
      <c r="I46" s="13" t="s">
        <v>526</v>
      </c>
      <c r="J46" s="13" t="s">
        <v>506</v>
      </c>
      <c r="K46" s="13" t="s">
        <v>507</v>
      </c>
      <c r="L46" s="13" t="s">
        <v>526</v>
      </c>
      <c r="M46" s="13" t="s">
        <v>508</v>
      </c>
      <c r="N46" s="13" t="s">
        <v>509</v>
      </c>
      <c r="O46" s="13" t="s">
        <v>526</v>
      </c>
      <c r="P46" s="13" t="s">
        <v>510</v>
      </c>
      <c r="Q46" s="13" t="s">
        <v>511</v>
      </c>
      <c r="R46" s="18" t="s">
        <v>49</v>
      </c>
      <c r="S46" s="2" t="s">
        <v>8</v>
      </c>
    </row>
    <row r="47" spans="1:19" x14ac:dyDescent="0.3">
      <c r="F47" s="4"/>
    </row>
    <row r="48" spans="1:19" x14ac:dyDescent="0.3">
      <c r="F48" s="4"/>
      <c r="Q48" s="6" t="s">
        <v>512</v>
      </c>
      <c r="R48" s="7">
        <f xml:space="preserve"> COUNTIF($R$3:$R$46,"Amber")</f>
        <v>30</v>
      </c>
    </row>
    <row r="49" spans="2:18" x14ac:dyDescent="0.3">
      <c r="F49" s="4"/>
      <c r="Q49" s="8" t="s">
        <v>513</v>
      </c>
      <c r="R49" s="9">
        <f xml:space="preserve"> COUNTIF($R$3:$R$46,"Red")</f>
        <v>12</v>
      </c>
    </row>
    <row r="50" spans="2:18" x14ac:dyDescent="0.3">
      <c r="F50" s="4"/>
      <c r="Q50" s="8" t="s">
        <v>514</v>
      </c>
      <c r="R50" s="9">
        <f xml:space="preserve"> COUNTIF($R$3:$R$46,"Green")</f>
        <v>2</v>
      </c>
    </row>
    <row r="51" spans="2:18" x14ac:dyDescent="0.3">
      <c r="F51" s="4"/>
      <c r="Q51" s="8" t="s">
        <v>515</v>
      </c>
      <c r="R51" s="9">
        <f>SUM(R48:R50)</f>
        <v>44</v>
      </c>
    </row>
    <row r="52" spans="2:18" x14ac:dyDescent="0.3">
      <c r="F52" s="4"/>
      <c r="Q52" s="8" t="s">
        <v>516</v>
      </c>
      <c r="R52" s="9">
        <f xml:space="preserve"> (R48/$R$51)*100</f>
        <v>68.181818181818173</v>
      </c>
    </row>
    <row r="53" spans="2:18" x14ac:dyDescent="0.3">
      <c r="F53" s="4"/>
      <c r="Q53" s="8" t="s">
        <v>517</v>
      </c>
      <c r="R53" s="9">
        <f xml:space="preserve"> (R49/$R$51)*100</f>
        <v>27.27272727272727</v>
      </c>
    </row>
    <row r="54" spans="2:18" x14ac:dyDescent="0.3">
      <c r="F54" s="4"/>
      <c r="Q54" s="10" t="s">
        <v>518</v>
      </c>
      <c r="R54" s="11">
        <f xml:space="preserve"> (R50/$R$51)*100</f>
        <v>4.5454545454545459</v>
      </c>
    </row>
    <row r="55" spans="2:18" x14ac:dyDescent="0.3">
      <c r="F55" s="4"/>
    </row>
    <row r="56" spans="2:18" x14ac:dyDescent="0.3">
      <c r="F56" s="4"/>
    </row>
    <row r="57" spans="2:18" x14ac:dyDescent="0.3">
      <c r="F57" s="4"/>
    </row>
    <row r="58" spans="2:18" x14ac:dyDescent="0.3">
      <c r="F58" s="4"/>
    </row>
    <row r="59" spans="2:18" x14ac:dyDescent="0.3">
      <c r="F59" s="4"/>
    </row>
    <row r="60" spans="2:18" x14ac:dyDescent="0.3">
      <c r="F60" s="4"/>
    </row>
    <row r="61" spans="2:18" x14ac:dyDescent="0.3">
      <c r="F61" s="4"/>
    </row>
    <row r="62" spans="2:18" x14ac:dyDescent="0.3">
      <c r="B62" s="2" t="s">
        <v>519</v>
      </c>
      <c r="F62" s="4"/>
    </row>
    <row r="63" spans="2:18" x14ac:dyDescent="0.3">
      <c r="B63" s="2" t="s">
        <v>520</v>
      </c>
      <c r="F63" s="4"/>
    </row>
    <row r="64" spans="2:18" x14ac:dyDescent="0.3">
      <c r="B64" s="2" t="s">
        <v>521</v>
      </c>
      <c r="F64" s="4"/>
    </row>
  </sheetData>
  <mergeCells count="6">
    <mergeCell ref="T23:U23"/>
    <mergeCell ref="C1:E1"/>
    <mergeCell ref="F1:H1"/>
    <mergeCell ref="I1:K1"/>
    <mergeCell ref="L1:N1"/>
    <mergeCell ref="O1:Q1"/>
  </mergeCells>
  <conditionalFormatting sqref="R3:R46">
    <cfRule type="containsText" dxfId="2" priority="1" operator="containsText" text="Green">
      <formula>NOT(ISERROR(SEARCH("Green",R3)))</formula>
    </cfRule>
    <cfRule type="containsText" dxfId="1" priority="2" operator="containsText" text="Amber">
      <formula>NOT(ISERROR(SEARCH("Amber",R3)))</formula>
    </cfRule>
    <cfRule type="containsText" dxfId="0" priority="3" operator="containsText" text="Red">
      <formula>NOT(ISERROR(SEARCH("Red",R3)))</formula>
    </cfRule>
    <cfRule type="containsText" priority="4" operator="containsText" text="Red">
      <formula>NOT(ISERROR(SEARCH("Red",R3)))</formula>
    </cfRule>
    <cfRule type="colorScale" priority="5">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Vansh Chhalotre</cp:lastModifiedBy>
  <dcterms:created xsi:type="dcterms:W3CDTF">2026-01-26T11:53:37Z</dcterms:created>
  <dcterms:modified xsi:type="dcterms:W3CDTF">2026-01-26T13:01:45Z</dcterms:modified>
</cp:coreProperties>
</file>